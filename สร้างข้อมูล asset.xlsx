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พารามณี\P-02 ระบบเเจ้งซ่อม\"/>
    </mc:Choice>
  </mc:AlternateContent>
  <xr:revisionPtr revIDLastSave="0" documentId="8_{BCF26936-860D-45E7-968B-E2FA8E53384D}" xr6:coauthVersionLast="47" xr6:coauthVersionMax="47" xr10:uidLastSave="{00000000-0000-0000-0000-000000000000}"/>
  <bookViews>
    <workbookView xWindow="-110" yWindow="-110" windowWidth="19420" windowHeight="10300" xr2:uid="{E56417EC-D329-4670-87A9-C0084057D88B}"/>
  </bookViews>
  <sheets>
    <sheet name="รวมข้อมูล" sheetId="1" r:id="rId1"/>
  </sheets>
  <definedNames>
    <definedName name="_xlnm._FilterDatabase" localSheetId="0" hidden="1">รวมข้อมูล!$A$5:$S$293</definedName>
    <definedName name="_xlnm.Print_Area" localSheetId="0">รวมข้อมูล!$A$1:$M$249</definedName>
    <definedName name="_xlnm.Print_Titles" localSheetId="0">รวมข้อมูล!$1:$4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2" i="1" l="1"/>
  <c r="A293" i="1" s="1"/>
  <c r="A291" i="1"/>
  <c r="A290" i="1"/>
  <c r="A287" i="1"/>
  <c r="A288" i="1" s="1"/>
  <c r="A276" i="1"/>
  <c r="A277" i="1" s="1"/>
  <c r="A278" i="1" s="1"/>
  <c r="A279" i="1" s="1"/>
  <c r="A280" i="1" s="1"/>
  <c r="A281" i="1" s="1"/>
  <c r="A282" i="1" s="1"/>
  <c r="A283" i="1" s="1"/>
  <c r="A284" i="1" s="1"/>
  <c r="A275" i="1"/>
  <c r="H274" i="1"/>
  <c r="G274" i="1"/>
  <c r="A272" i="1"/>
  <c r="A273" i="1" s="1"/>
  <c r="A271" i="1"/>
  <c r="H270" i="1"/>
  <c r="A268" i="1"/>
  <c r="A269" i="1" s="1"/>
  <c r="A267" i="1"/>
  <c r="A264" i="1"/>
  <c r="A265" i="1" s="1"/>
  <c r="H262" i="1"/>
  <c r="A251" i="1"/>
  <c r="A252" i="1" s="1"/>
  <c r="A253" i="1" s="1"/>
  <c r="A254" i="1" s="1"/>
  <c r="A255" i="1" s="1"/>
  <c r="A256" i="1" s="1"/>
  <c r="A258" i="1" s="1"/>
  <c r="A259" i="1" s="1"/>
  <c r="A260" i="1" s="1"/>
  <c r="A261" i="1" s="1"/>
  <c r="A262" i="1" s="1"/>
  <c r="A241" i="1"/>
  <c r="A242" i="1" s="1"/>
  <c r="A243" i="1" s="1"/>
  <c r="A244" i="1" s="1"/>
  <c r="A245" i="1" s="1"/>
  <c r="A246" i="1" s="1"/>
  <c r="A247" i="1" s="1"/>
  <c r="A248" i="1" s="1"/>
  <c r="A249" i="1" s="1"/>
  <c r="A240" i="1"/>
  <c r="A239" i="1"/>
  <c r="A232" i="1"/>
  <c r="A233" i="1" s="1"/>
  <c r="A234" i="1" s="1"/>
  <c r="A235" i="1" s="1"/>
  <c r="A236" i="1" s="1"/>
  <c r="A237" i="1" s="1"/>
  <c r="A231" i="1"/>
  <c r="A230" i="1"/>
  <c r="A229" i="1"/>
  <c r="A225" i="1"/>
  <c r="A226" i="1" s="1"/>
  <c r="A227" i="1" s="1"/>
  <c r="A228" i="1" s="1"/>
  <c r="A224" i="1"/>
  <c r="A195" i="1"/>
  <c r="A191" i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190" i="1"/>
  <c r="A185" i="1"/>
  <c r="A186" i="1" s="1"/>
  <c r="A187" i="1" s="1"/>
  <c r="A184" i="1"/>
  <c r="A180" i="1"/>
  <c r="A181" i="1" s="1"/>
  <c r="A179" i="1"/>
  <c r="A178" i="1"/>
  <c r="A174" i="1"/>
  <c r="A175" i="1" s="1"/>
  <c r="A176" i="1" s="1"/>
  <c r="A173" i="1"/>
  <c r="A171" i="1"/>
  <c r="A167" i="1"/>
  <c r="A168" i="1" s="1"/>
  <c r="A166" i="1"/>
  <c r="A165" i="1"/>
  <c r="A163" i="1"/>
  <c r="A161" i="1"/>
  <c r="A160" i="1"/>
  <c r="A158" i="1"/>
  <c r="A157" i="1"/>
  <c r="A133" i="1"/>
  <c r="A134" i="1" s="1"/>
  <c r="A135" i="1" s="1"/>
  <c r="A136" i="1" s="1"/>
  <c r="A138" i="1" s="1"/>
  <c r="A139" i="1" s="1"/>
  <c r="A140" i="1" s="1"/>
  <c r="A145" i="1" s="1"/>
  <c r="A147" i="1" s="1"/>
  <c r="A148" i="1" s="1"/>
  <c r="A149" i="1" s="1"/>
  <c r="A150" i="1" s="1"/>
  <c r="A151" i="1" s="1"/>
  <c r="A152" i="1" s="1"/>
  <c r="A153" i="1" s="1"/>
  <c r="A154" i="1" s="1"/>
  <c r="A155" i="1" s="1"/>
  <c r="A132" i="1"/>
  <c r="A131" i="1"/>
  <c r="A129" i="1"/>
  <c r="A128" i="1"/>
  <c r="A127" i="1"/>
  <c r="A119" i="1"/>
  <c r="A120" i="1" s="1"/>
  <c r="A121" i="1" s="1"/>
  <c r="A122" i="1" s="1"/>
  <c r="A123" i="1" s="1"/>
  <c r="A124" i="1" s="1"/>
  <c r="A125" i="1" s="1"/>
  <c r="A118" i="1"/>
  <c r="A117" i="1"/>
  <c r="A111" i="1"/>
  <c r="A112" i="1" s="1"/>
  <c r="A113" i="1" s="1"/>
  <c r="A114" i="1" s="1"/>
  <c r="A104" i="1"/>
  <c r="A105" i="1" s="1"/>
  <c r="A106" i="1" s="1"/>
  <c r="A107" i="1" s="1"/>
  <c r="A108" i="1" s="1"/>
  <c r="A109" i="1" s="1"/>
  <c r="A101" i="1"/>
  <c r="A100" i="1"/>
  <c r="A91" i="1"/>
  <c r="A92" i="1" s="1"/>
  <c r="A93" i="1" s="1"/>
  <c r="A94" i="1" s="1"/>
  <c r="A95" i="1" s="1"/>
  <c r="A96" i="1" s="1"/>
  <c r="A97" i="1" s="1"/>
  <c r="A98" i="1" s="1"/>
  <c r="A85" i="1"/>
  <c r="A86" i="1" s="1"/>
  <c r="A84" i="1"/>
  <c r="A82" i="1"/>
  <c r="A83" i="1" s="1"/>
  <c r="A81" i="1"/>
  <c r="A80" i="1"/>
  <c r="A75" i="1"/>
  <c r="A76" i="1" s="1"/>
  <c r="A77" i="1" s="1"/>
  <c r="A72" i="1"/>
  <c r="A71" i="1"/>
  <c r="A70" i="1"/>
  <c r="A67" i="1"/>
  <c r="A66" i="1"/>
  <c r="A65" i="1"/>
  <c r="A60" i="1"/>
  <c r="A59" i="1"/>
  <c r="A54" i="1"/>
  <c r="A55" i="1" s="1"/>
  <c r="A51" i="1"/>
  <c r="A52" i="1" s="1"/>
  <c r="A48" i="1"/>
  <c r="A49" i="1" s="1"/>
  <c r="A47" i="1"/>
  <c r="A45" i="1"/>
  <c r="A43" i="1"/>
  <c r="A42" i="1"/>
  <c r="A39" i="1"/>
  <c r="A38" i="1"/>
  <c r="A33" i="1"/>
  <c r="A34" i="1" s="1"/>
  <c r="A35" i="1" s="1"/>
  <c r="A36" i="1" s="1"/>
  <c r="A29" i="1"/>
  <c r="A27" i="1"/>
  <c r="A26" i="1"/>
  <c r="A23" i="1"/>
  <c r="A22" i="1"/>
  <c r="A19" i="1"/>
  <c r="A17" i="1"/>
  <c r="H16" i="1"/>
  <c r="A16" i="1"/>
  <c r="A11" i="1"/>
  <c r="A12" i="1" s="1"/>
  <c r="A13" i="1" s="1"/>
  <c r="A9" i="1"/>
  <c r="A6" i="1"/>
  <c r="H2" i="1"/>
  <c r="A192" i="1" l="1"/>
  <c r="A1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Fb-user01</author>
  </authors>
  <commentList>
    <comment ref="G36" authorId="0" shapeId="0" xr:uid="{EC1F9A88-CF2A-4FB6-9F03-C087AF8EC08B}">
      <text>
        <r>
          <rPr>
            <sz val="9"/>
            <color indexed="81"/>
            <rFont val="Tahoma"/>
            <family val="2"/>
          </rPr>
          <t xml:space="preserve">ตรวจ ปจ2. วันที่ 22/5/69
</t>
        </r>
      </text>
    </comment>
    <comment ref="B39" authorId="0" shapeId="0" xr:uid="{5314E1CA-A6B4-4B6A-AAE9-F3AAB01845C5}">
      <text>
        <r>
          <rPr>
            <sz val="9"/>
            <color indexed="81"/>
            <rFont val="Tahoma"/>
            <family val="2"/>
          </rPr>
          <t xml:space="preserve">เปลี่ยนกระจก ด้านหน้า 27/5/69
</t>
        </r>
      </text>
    </comment>
    <comment ref="B40" authorId="0" shapeId="0" xr:uid="{AE2608BE-17E3-49D2-8480-72C85C58F6C2}">
      <text>
        <r>
          <rPr>
            <sz val="9"/>
            <color indexed="81"/>
            <rFont val="Tahoma"/>
            <family val="2"/>
          </rPr>
          <t>เปลี่ยนสลิง 6 มีนาคม 2569
เปลี่ยนสลิง 6 พฤษภาคม 2569</t>
        </r>
      </text>
    </comment>
    <comment ref="B42" authorId="0" shapeId="0" xr:uid="{EF08A167-9DF7-4553-872F-E48087CF0FFB}">
      <text>
        <r>
          <rPr>
            <b/>
            <sz val="9"/>
            <color indexed="81"/>
            <rFont val="Tahoma"/>
            <family val="2"/>
          </rPr>
          <t>เปลี่ยนสลิง 2 พฤษภาคม 2569</t>
        </r>
      </text>
    </comment>
    <comment ref="B43" authorId="0" shapeId="0" xr:uid="{F348D6B7-A80D-4229-8B7E-BD06A197A0C7}">
      <text>
        <r>
          <rPr>
            <sz val="9"/>
            <color indexed="81"/>
            <rFont val="Tahoma"/>
            <family val="2"/>
          </rPr>
          <t xml:space="preserve">เปลี่ยนสลิง 29 เมษายน 2569
</t>
        </r>
      </text>
    </comment>
    <comment ref="G50" authorId="0" shapeId="0" xr:uid="{E73AC835-0CCE-4019-B4D7-F4B0C89C13EE}">
      <text>
        <r>
          <rPr>
            <b/>
            <sz val="9"/>
            <color indexed="81"/>
            <rFont val="Tahoma"/>
            <family val="2"/>
          </rPr>
          <t xml:space="preserve">ตรวจ ปจ2. วันที่ 22/5/69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6" authorId="0" shapeId="0" xr:uid="{A8568C71-51D3-4205-B752-5DDAECEF86D5}">
      <text>
        <r>
          <rPr>
            <sz val="9"/>
            <color indexed="81"/>
            <rFont val="Tahoma"/>
            <family val="2"/>
          </rPr>
          <t xml:space="preserve">ไม่มีรหัส 7 แผ่น  / TCB 2 แผ่น / มีรหัส 11 แผ่น รวม 20 แผ่น
</t>
        </r>
      </text>
    </comment>
  </commentList>
</comments>
</file>

<file path=xl/sharedStrings.xml><?xml version="1.0" encoding="utf-8"?>
<sst xmlns="http://schemas.openxmlformats.org/spreadsheetml/2006/main" count="1744" uniqueCount="361">
  <si>
    <t xml:space="preserve">      บริษัท พานามณี จำกัด</t>
  </si>
  <si>
    <t>ลำดับที่</t>
  </si>
  <si>
    <t>รหัสเครื่องจักร
ระบุทุกครั้ง</t>
  </si>
  <si>
    <t>เครื่องจักร</t>
  </si>
  <si>
    <t>ยี่ห้อ</t>
  </si>
  <si>
    <t>รุ่น</t>
  </si>
  <si>
    <t>ขนาด / ความยาว</t>
  </si>
  <si>
    <t>ซีเรียล</t>
  </si>
  <si>
    <t>จำนวน</t>
  </si>
  <si>
    <t>หน่วย</t>
  </si>
  <si>
    <t>กรรมสิทธิ์/เช่า
ให้ถูกต้อง</t>
  </si>
  <si>
    <t>ครอบครอง</t>
  </si>
  <si>
    <t>Site</t>
  </si>
  <si>
    <t>หมายเหตุ</t>
  </si>
  <si>
    <t>เช็ค logic</t>
  </si>
  <si>
    <t>วันที่รับเข้า</t>
  </si>
  <si>
    <t>Casing Ø 0.60 m</t>
  </si>
  <si>
    <t>15.00 m.</t>
  </si>
  <si>
    <t>ท่อน</t>
  </si>
  <si>
    <t>TFB</t>
  </si>
  <si>
    <t>PMN</t>
  </si>
  <si>
    <t>วัดศรีวารีน้อย</t>
  </si>
  <si>
    <t>Soil Auger Ø 1.50 m</t>
  </si>
  <si>
    <t>Ø 1.50 m</t>
  </si>
  <si>
    <t>ตัว</t>
  </si>
  <si>
    <t>PNM</t>
  </si>
  <si>
    <t>กม.22</t>
  </si>
  <si>
    <t>Cleaning Bucket Ø 1.00 m</t>
  </si>
  <si>
    <t>Ø 1.00 m</t>
  </si>
  <si>
    <t>Core Barrel Ø 1.20 m</t>
  </si>
  <si>
    <t>Ø 1.20 m</t>
  </si>
  <si>
    <t>Casing Ø 0.80 m</t>
  </si>
  <si>
    <t>3.95 m.</t>
  </si>
  <si>
    <t>โรจนะ</t>
  </si>
  <si>
    <t>3.45 m.</t>
  </si>
  <si>
    <t>4.50 m.</t>
  </si>
  <si>
    <t>3.50 m.</t>
  </si>
  <si>
    <t>4.00 m.</t>
  </si>
  <si>
    <t>Casing Ø 1.00 m</t>
  </si>
  <si>
    <t>10.00 m.</t>
  </si>
  <si>
    <t>DC 6</t>
  </si>
  <si>
    <t>สุขุมวิท 66</t>
  </si>
  <si>
    <t>Soil Bucket Ø 1.20 m</t>
  </si>
  <si>
    <t>Casing Ø 1.50 m</t>
  </si>
  <si>
    <t>จตุโชติ</t>
  </si>
  <si>
    <t xml:space="preserve">3 หน้างาน,1 กม ซ่อม ,8/6/2026  เพิ่ม 1 ท่อน X 12.00 เมตร </t>
  </si>
  <si>
    <t>12.00 m.</t>
  </si>
  <si>
    <t>14.50 m.</t>
  </si>
  <si>
    <t>Core Barrel Ø 0.80 m</t>
  </si>
  <si>
    <t>Ø 0.80 m</t>
  </si>
  <si>
    <t>Cleaning Bucket Ø 1.50 m</t>
  </si>
  <si>
    <t xml:space="preserve">Ø 1.50 m </t>
  </si>
  <si>
    <t>TCS-PC2006-001</t>
  </si>
  <si>
    <t>COMPUTER +เม้าท์ + คีย์บอร์ด</t>
  </si>
  <si>
    <t>Lenovo</t>
  </si>
  <si>
    <t>A340-22IWL</t>
  </si>
  <si>
    <t>MP1N3DSG</t>
  </si>
  <si>
    <t>ชุด</t>
  </si>
  <si>
    <t>TCS-PC2006-012</t>
  </si>
  <si>
    <t>COMPUTER+เม้าท์+คีย์บอร์ด</t>
  </si>
  <si>
    <t>MP1N38Y0</t>
  </si>
  <si>
    <t>เครื่อง</t>
  </si>
  <si>
    <t>Soil Bucket Ø 0.80 m</t>
  </si>
  <si>
    <t>Soil Bucket Ø 1.00 m</t>
  </si>
  <si>
    <t>SXC55-05</t>
  </si>
  <si>
    <t>Crawler Crane</t>
  </si>
  <si>
    <t>XCMG</t>
  </si>
  <si>
    <t>XGC55</t>
  </si>
  <si>
    <t>55 Ton.</t>
  </si>
  <si>
    <t>XUG0055KKJFC00074</t>
  </si>
  <si>
    <t>คัน</t>
  </si>
  <si>
    <t>C55-14</t>
  </si>
  <si>
    <t>XUG0055KTJFC00073</t>
  </si>
  <si>
    <t>C55-11</t>
  </si>
  <si>
    <t>KOBELCO</t>
  </si>
  <si>
    <t>7055-2</t>
  </si>
  <si>
    <t>55 T</t>
  </si>
  <si>
    <t>GB01176</t>
  </si>
  <si>
    <t>C55-09</t>
  </si>
  <si>
    <t>7055-2A</t>
  </si>
  <si>
    <t>GB01336</t>
  </si>
  <si>
    <t>SXC75-04</t>
  </si>
  <si>
    <t>XGC75</t>
  </si>
  <si>
    <t>75T</t>
  </si>
  <si>
    <t>XUG0075KEKFC00148</t>
  </si>
  <si>
    <t>SXC75-03</t>
  </si>
  <si>
    <t>75 Ton.</t>
  </si>
  <si>
    <t>XUG0075KHKFC00147</t>
  </si>
  <si>
    <t>SXC75-01</t>
  </si>
  <si>
    <t>XUG0075KTJFC00586</t>
  </si>
  <si>
    <t>CD22-02</t>
  </si>
  <si>
    <t>Drilling Rig</t>
  </si>
  <si>
    <t>XR220DII</t>
  </si>
  <si>
    <t>22 Ton.</t>
  </si>
  <si>
    <t>XUG022RLGHJ00221</t>
  </si>
  <si>
    <t>CD18-01</t>
  </si>
  <si>
    <t xml:space="preserve">Drilling Rig </t>
  </si>
  <si>
    <t>XR180DII</t>
  </si>
  <si>
    <t>18 Ton.</t>
  </si>
  <si>
    <t>XUG0180RKFHJ00152</t>
  </si>
  <si>
    <t>CD18-08</t>
  </si>
  <si>
    <t>XUG0180REGHJ00258</t>
  </si>
  <si>
    <t>กลุ่ม CK</t>
  </si>
  <si>
    <t>CD18-11</t>
  </si>
  <si>
    <t>XUG0180RPGHJ00071</t>
  </si>
  <si>
    <t>TFC</t>
  </si>
  <si>
    <t>CD18-10</t>
  </si>
  <si>
    <t>XUG0180RVGHJ00237</t>
  </si>
  <si>
    <t>CD22-05</t>
  </si>
  <si>
    <t>XUG0220RKJHJ00235</t>
  </si>
  <si>
    <t>CD22-07</t>
  </si>
  <si>
    <t>XUG0220RAJHJ00144</t>
  </si>
  <si>
    <t>CEE-32</t>
  </si>
  <si>
    <t>Excavator</t>
  </si>
  <si>
    <t>XE215C</t>
  </si>
  <si>
    <t>XUG0215BKJKA00681</t>
  </si>
  <si>
    <t>CEE-28</t>
  </si>
  <si>
    <t>XUG0215BEJKA00683</t>
  </si>
  <si>
    <t>CEE-35</t>
  </si>
  <si>
    <t>XUG0215BEJKA00688</t>
  </si>
  <si>
    <t>CEE-33</t>
  </si>
  <si>
    <t>XUG0215BJJKA00682</t>
  </si>
  <si>
    <t>SXX22-18</t>
  </si>
  <si>
    <t>XUG0215BCHKA00492</t>
  </si>
  <si>
    <t>CEE-34</t>
  </si>
  <si>
    <t>XUG0215BAJKA00685</t>
  </si>
  <si>
    <t>CEE-27</t>
  </si>
  <si>
    <t>XUG0215BPJKA00680</t>
  </si>
  <si>
    <t>C6215</t>
  </si>
  <si>
    <t>Generator</t>
  </si>
  <si>
    <t>DCA-150ESK</t>
  </si>
  <si>
    <t>150 kVA</t>
  </si>
  <si>
    <t>G150-07</t>
  </si>
  <si>
    <t>NES150SH</t>
  </si>
  <si>
    <t>N0501SDB</t>
  </si>
  <si>
    <t>G125-01</t>
  </si>
  <si>
    <t>NISSHA</t>
  </si>
  <si>
    <t>NES125SH</t>
  </si>
  <si>
    <t>125 kVA</t>
  </si>
  <si>
    <t>CF011800</t>
  </si>
  <si>
    <t>NES150EM</t>
  </si>
  <si>
    <t>NIPPON</t>
  </si>
  <si>
    <t>NEA-1314</t>
  </si>
  <si>
    <t>DF052300</t>
  </si>
  <si>
    <t xml:space="preserve">Mobile Crane </t>
  </si>
  <si>
    <t>RK250-5</t>
  </si>
  <si>
    <t>EZ06-07347</t>
  </si>
  <si>
    <t>ท็อปไฟว์</t>
  </si>
  <si>
    <t>AG-FB-10</t>
  </si>
  <si>
    <t>Polymer Mix</t>
  </si>
  <si>
    <t>AGFB-09</t>
  </si>
  <si>
    <t>Cleaning Bucket Ø 0.80 m</t>
  </si>
  <si>
    <t>ตู้สโตร์</t>
  </si>
  <si>
    <t>ตู้</t>
  </si>
  <si>
    <t>ซองใส่ท่อเทคอนกรีต</t>
  </si>
  <si>
    <t>10"</t>
  </si>
  <si>
    <t>ท่อเทคอนกรีต 9"</t>
  </si>
  <si>
    <t xml:space="preserve"> 9" ยาว 3.0m</t>
  </si>
  <si>
    <t>AGFB-08</t>
  </si>
  <si>
    <t>AGFB-02</t>
  </si>
  <si>
    <t>ไม่มีรหัส</t>
  </si>
  <si>
    <t>PP600-03</t>
  </si>
  <si>
    <t>Power Pack</t>
  </si>
  <si>
    <t>Yongan</t>
  </si>
  <si>
    <t>600P</t>
  </si>
  <si>
    <t>201807-1337</t>
  </si>
  <si>
    <t>TCS</t>
  </si>
  <si>
    <t>8300 KG.</t>
  </si>
  <si>
    <t>201904-1461</t>
  </si>
  <si>
    <t>PP600-01</t>
  </si>
  <si>
    <t>201807-1328</t>
  </si>
  <si>
    <t>Soil Auger Ø 1.00 m</t>
  </si>
  <si>
    <t>Vibro Hammer</t>
  </si>
  <si>
    <t>FB08FB02</t>
  </si>
  <si>
    <t xml:space="preserve">Ø 0.80 m </t>
  </si>
  <si>
    <t>SU10FB021</t>
  </si>
  <si>
    <t>SU10FB011</t>
  </si>
  <si>
    <t>SU10FB01</t>
  </si>
  <si>
    <t>3.80 m.</t>
  </si>
  <si>
    <t>2.10 m.</t>
  </si>
  <si>
    <t>Casing Ø 1.20 m</t>
  </si>
  <si>
    <t>10.20 m.</t>
  </si>
  <si>
    <t>ตัด ซอยย่อย ท่อนละ 3 m. = 5 ท่อน เหลือท่อนยาว 1 ท่อน</t>
  </si>
  <si>
    <t>#16</t>
  </si>
  <si>
    <t>ถังไซโล</t>
  </si>
  <si>
    <t>ถัง</t>
  </si>
  <si>
    <t>Soil Bucket Ø 1.50 m</t>
  </si>
  <si>
    <t>#18</t>
  </si>
  <si>
    <t>YZ-180B</t>
  </si>
  <si>
    <t>5900 KG.</t>
  </si>
  <si>
    <t>201904-3120</t>
  </si>
  <si>
    <t>VB180-06</t>
  </si>
  <si>
    <t>YZ-180</t>
  </si>
  <si>
    <t>VB180-04</t>
  </si>
  <si>
    <t xml:space="preserve">Vibro Hammer </t>
  </si>
  <si>
    <t xml:space="preserve">Yongan </t>
  </si>
  <si>
    <t>201904-3127</t>
  </si>
  <si>
    <t>CK</t>
  </si>
  <si>
    <t xml:space="preserve">กรวยกรอกเทคอนกรีต Pocket </t>
  </si>
  <si>
    <t>กรวยเทคอนกรีต</t>
  </si>
  <si>
    <t>9"</t>
  </si>
  <si>
    <t>อัน</t>
  </si>
  <si>
    <t>8"</t>
  </si>
  <si>
    <t xml:space="preserve">กรวยเทคอนกรีต </t>
  </si>
  <si>
    <t>ก้านเจาะ 220</t>
  </si>
  <si>
    <t>ก้าน</t>
  </si>
  <si>
    <t>ก้านเจาะ Friction 180</t>
  </si>
  <si>
    <t>XR180</t>
  </si>
  <si>
    <t>B200XB200</t>
  </si>
  <si>
    <t>โชคชัย</t>
  </si>
  <si>
    <t>ก้านเจาะ Friction 220</t>
  </si>
  <si>
    <t xml:space="preserve">เครื่องเจียร์ 4" </t>
  </si>
  <si>
    <t>เครื่องตัดไฟเบอร์ # 14"</t>
  </si>
  <si>
    <t>เครื่องตัดไฟเบอร์ 14"</t>
  </si>
  <si>
    <t>ชุดเทสน้ำยา</t>
  </si>
  <si>
    <t>#32</t>
  </si>
  <si>
    <t xml:space="preserve">8"  </t>
  </si>
  <si>
    <t>WD500-FB04</t>
  </si>
  <si>
    <t>ตู้เชื่อมพลัง</t>
  </si>
  <si>
    <t>500A</t>
  </si>
  <si>
    <t>WD500-FB01</t>
  </si>
  <si>
    <t>WD300-FB09</t>
  </si>
  <si>
    <t>300A</t>
  </si>
  <si>
    <t>SSFB-22</t>
  </si>
  <si>
    <t xml:space="preserve">ตู้ไฟเบอร์ 1 </t>
  </si>
  <si>
    <t>SSFB-20</t>
  </si>
  <si>
    <t>SSFB-07</t>
  </si>
  <si>
    <t>SSFB-03</t>
  </si>
  <si>
    <t>SPFB-06</t>
  </si>
  <si>
    <t>SSFB-09</t>
  </si>
  <si>
    <t>SPFB-15</t>
  </si>
  <si>
    <t>SSFB-26</t>
  </si>
  <si>
    <t>SSFB-01</t>
  </si>
  <si>
    <t>SSFB-02</t>
  </si>
  <si>
    <t>SSFB-24</t>
  </si>
  <si>
    <t>SSFB-08</t>
  </si>
  <si>
    <t>SSFB-15</t>
  </si>
  <si>
    <t>ตู้ไฟเบอร์ 5</t>
  </si>
  <si>
    <t>SX-FB13</t>
  </si>
  <si>
    <t>SXFB-08</t>
  </si>
  <si>
    <t>SXFB-09</t>
  </si>
  <si>
    <t>SXFB-05</t>
  </si>
  <si>
    <t>SXFB-15</t>
  </si>
  <si>
    <t>SXFB-01</t>
  </si>
  <si>
    <t>ST-22</t>
  </si>
  <si>
    <t>#33</t>
  </si>
  <si>
    <t>#51</t>
  </si>
  <si>
    <t>(AG-02)</t>
  </si>
  <si>
    <t>no number</t>
  </si>
  <si>
    <t>ปั้มส่งน้ำยา</t>
  </si>
  <si>
    <t>SPFB-16</t>
  </si>
  <si>
    <t>#01</t>
  </si>
  <si>
    <t>ST-30</t>
  </si>
  <si>
    <t>OF-12</t>
  </si>
  <si>
    <t>ตู้ออฟฟิศ</t>
  </si>
  <si>
    <t>OF-02</t>
  </si>
  <si>
    <t>OF-01</t>
  </si>
  <si>
    <t>OF-07</t>
  </si>
  <si>
    <t>(สำหรับเก็บของคอนซูม)</t>
  </si>
  <si>
    <t>#03</t>
  </si>
  <si>
    <t>#30</t>
  </si>
  <si>
    <t>#02</t>
  </si>
  <si>
    <t>#41</t>
  </si>
  <si>
    <t>#38</t>
  </si>
  <si>
    <t>#37</t>
  </si>
  <si>
    <t>#19</t>
  </si>
  <si>
    <t>#06</t>
  </si>
  <si>
    <t>PL00-01TC</t>
  </si>
  <si>
    <t>SBFB-02</t>
  </si>
  <si>
    <t>ปั้มสูบน้ำยา</t>
  </si>
  <si>
    <t>SBFB-08</t>
  </si>
  <si>
    <t>SBFB-25</t>
  </si>
  <si>
    <t>SBFB-29</t>
  </si>
  <si>
    <t>#14</t>
  </si>
  <si>
    <t>#09</t>
  </si>
  <si>
    <t>#13</t>
  </si>
  <si>
    <t>#11</t>
  </si>
  <si>
    <t>#15</t>
  </si>
  <si>
    <t>#10</t>
  </si>
  <si>
    <t xml:space="preserve"> #12</t>
  </si>
  <si>
    <t>#46</t>
  </si>
  <si>
    <t>#25</t>
  </si>
  <si>
    <t>#35</t>
  </si>
  <si>
    <t>#8</t>
  </si>
  <si>
    <t>#47</t>
  </si>
  <si>
    <t>#36</t>
  </si>
  <si>
    <t>#43</t>
  </si>
  <si>
    <t>#45</t>
  </si>
  <si>
    <t>#44</t>
  </si>
  <si>
    <t>ถังเหลี่ยมน้ำ</t>
  </si>
  <si>
    <t>ท่อเทคอนกรีต 10"</t>
  </si>
  <si>
    <t xml:space="preserve"> 10" ยาว 3.0m</t>
  </si>
  <si>
    <t>ปากฉลาม</t>
  </si>
  <si>
    <t>10" ยาว 0.5m</t>
  </si>
  <si>
    <t>10" ยาว 1.5m</t>
  </si>
  <si>
    <t xml:space="preserve"> 10" ยาว 1.0m</t>
  </si>
  <si>
    <t xml:space="preserve"> 10" ยาว 1.5m</t>
  </si>
  <si>
    <t xml:space="preserve"> 10" ยาว 0.5m</t>
  </si>
  <si>
    <t>ท่อเทคอนกรีต 8"</t>
  </si>
  <si>
    <t>8" ยาว 3.0 m</t>
  </si>
  <si>
    <t>ตัน 2 ใช้ได้ 22    รวมปากฉลาท</t>
  </si>
  <si>
    <t>9" ยาว 0.5m</t>
  </si>
  <si>
    <t>9" ยาว 3.0m</t>
  </si>
  <si>
    <t>SPFB-28</t>
  </si>
  <si>
    <t>นวนคร</t>
  </si>
  <si>
    <t>บาร์ยกเหล็ก</t>
  </si>
  <si>
    <t>1.50 m.</t>
  </si>
  <si>
    <t>WTFB-13</t>
  </si>
  <si>
    <t>ปั้มน้ำ</t>
  </si>
  <si>
    <t>WTFB-02</t>
  </si>
  <si>
    <t>WTFB-03</t>
  </si>
  <si>
    <t>WTFB-26</t>
  </si>
  <si>
    <t>WTFB-14</t>
  </si>
  <si>
    <t>WTFB-15</t>
  </si>
  <si>
    <t xml:space="preserve">ปั้มน้ำ </t>
  </si>
  <si>
    <t>SPFB-14</t>
  </si>
  <si>
    <t>TCMIPL00-08</t>
  </si>
  <si>
    <t>SPFB-10</t>
  </si>
  <si>
    <t>SPFB-07</t>
  </si>
  <si>
    <t>18XP03548-19</t>
  </si>
  <si>
    <t>SPFB-03</t>
  </si>
  <si>
    <t>SPFB-19</t>
  </si>
  <si>
    <t>SPFB-13</t>
  </si>
  <si>
    <t>SPFB-17</t>
  </si>
  <si>
    <t>สุขมวิท</t>
  </si>
  <si>
    <t>SBFB-27</t>
  </si>
  <si>
    <t>SBFB18</t>
  </si>
  <si>
    <t>SBFB-33</t>
  </si>
  <si>
    <t>SBFB-07</t>
  </si>
  <si>
    <t>SBFB-35</t>
  </si>
  <si>
    <t>แผงไฟใหญ่</t>
  </si>
  <si>
    <t>EP-22</t>
  </si>
  <si>
    <t>EPFB-05</t>
  </si>
  <si>
    <t>แผง</t>
  </si>
  <si>
    <t>EPFB-09</t>
  </si>
  <si>
    <t>aseet ไม่มี</t>
  </si>
  <si>
    <t>EPFB-07</t>
  </si>
  <si>
    <t>แผ่นคอนกรีต</t>
  </si>
  <si>
    <t>แผ่น</t>
  </si>
  <si>
    <t>20,1011,25,198,05,163,22,101,180,202,195TFB</t>
  </si>
  <si>
    <t>แผ่นเหล็ก(เล็ก)</t>
  </si>
  <si>
    <t>1.5m.x6m.</t>
  </si>
  <si>
    <t>ไม่ระบุรหัส</t>
  </si>
  <si>
    <t>PN81,82,83,84,85,86,87,88,89,90</t>
  </si>
  <si>
    <t>แผ่นเหล็ก(ใหญ่)</t>
  </si>
  <si>
    <t>2.4m.x6m.</t>
  </si>
  <si>
    <t>พานามณี</t>
  </si>
  <si>
    <t>PN69,PN70,PN67,PN68,PN64,PN65,PN66,PN63,PN62,PN61</t>
  </si>
  <si>
    <t>PN-40/PN-38/PN-39/PN-36/PN-37/PN-34/PN-35/PN-31/PN-32/PN-33,PN-30/PN-29/PN-28/PN-27/PN-26/PN-25/PN-24/PN-23/PN-22/PN-21/PN-41/PN-42/PN-43/PN-44/PN-45/PN-46/PN-47/PN-48/PN-49/PN-50</t>
  </si>
  <si>
    <t>แพลตฟอร์ม</t>
  </si>
  <si>
    <t>1.5m. x 1.5m.</t>
  </si>
  <si>
    <t>1.20 m x 1.2 m</t>
  </si>
  <si>
    <t xml:space="preserve">แพลตฟอร์ม </t>
  </si>
  <si>
    <t>รถกะบะ</t>
  </si>
  <si>
    <t>TOYOTA</t>
  </si>
  <si>
    <t>HILUX  REVO</t>
  </si>
  <si>
    <t>ทะเบียน 2ฒข 7806 กทม.</t>
  </si>
  <si>
    <t>ทะเบียน1ฒห 9154 กทม.</t>
  </si>
  <si>
    <t>1ฒห9150 กทม.</t>
  </si>
  <si>
    <t>รถบริการ</t>
  </si>
  <si>
    <t>1 ฒห 9153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</si>
</sst>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yyyy\-m"/>
    <numFmt numFmtId="189" formatCode="[$-107041E]d\ mmm\ yy;@"/>
  </numFmts>
  <fonts count="25" x14ac:knownFonts="1">
    <font>
      <sz val="11"/>
      <color theme="1"/>
      <name val="Tahoma"/>
      <family val="2"/>
      <charset val="222"/>
      <scheme val="minor"/>
    </font>
    <font>
      <sz val="10"/>
      <color rgb="FF000000"/>
      <name val="Arial"/>
      <family val="2"/>
    </font>
    <font>
      <sz val="26"/>
      <color theme="1"/>
      <name val="Angsana New"/>
      <family val="1"/>
    </font>
    <font>
      <sz val="18"/>
      <color rgb="FFFF0000"/>
      <name val="Angsana New"/>
      <family val="1"/>
      <charset val="222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  <charset val="222"/>
    </font>
    <font>
      <sz val="20"/>
      <color theme="1"/>
      <name val="Angsana New"/>
      <family val="1"/>
    </font>
    <font>
      <sz val="20"/>
      <color rgb="FFFF0000"/>
      <name val="Angsana New"/>
      <family val="1"/>
    </font>
    <font>
      <sz val="12"/>
      <color rgb="FFFF0000"/>
      <name val="Arial"/>
      <family val="2"/>
      <charset val="222"/>
    </font>
    <font>
      <sz val="12"/>
      <color rgb="FF000000"/>
      <name val="Arial"/>
      <family val="2"/>
    </font>
    <font>
      <sz val="20"/>
      <name val="Angsana New"/>
      <family val="1"/>
    </font>
    <font>
      <sz val="24"/>
      <color rgb="FFFF0000"/>
      <name val="Angsana New"/>
      <family val="1"/>
      <charset val="222"/>
    </font>
    <font>
      <sz val="24"/>
      <color rgb="FF000000"/>
      <name val="Angsana New"/>
      <family val="1"/>
    </font>
    <font>
      <sz val="10"/>
      <color theme="1"/>
      <name val="Arial"/>
      <family val="2"/>
    </font>
    <font>
      <sz val="20"/>
      <color rgb="FF000000"/>
      <name val="Angsana New"/>
      <family val="1"/>
    </font>
    <font>
      <sz val="10"/>
      <color rgb="FFFF0000"/>
      <name val="Arial"/>
      <family val="2"/>
      <charset val="222"/>
    </font>
    <font>
      <sz val="20"/>
      <color rgb="FFFF0000"/>
      <name val="Angsana New"/>
      <family val="1"/>
      <charset val="222"/>
    </font>
    <font>
      <sz val="24"/>
      <color rgb="FF000000"/>
      <name val="Angsana New"/>
      <family val="1"/>
      <charset val="222"/>
    </font>
    <font>
      <sz val="24"/>
      <color rgb="FF000000"/>
      <name val="Arial"/>
      <family val="2"/>
      <charset val="222"/>
    </font>
    <font>
      <sz val="24"/>
      <color rgb="FFFF0000"/>
      <name val="Arial"/>
      <family val="2"/>
      <charset val="222"/>
    </font>
    <font>
      <sz val="14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/>
        <bgColor rgb="FFCCCCCC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23">
    <xf numFmtId="0" fontId="0" fillId="0" borderId="0" xfId="0"/>
    <xf numFmtId="0" fontId="2" fillId="0" borderId="1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187" fontId="7" fillId="2" borderId="2" xfId="1" applyNumberFormat="1" applyFont="1" applyFill="1" applyBorder="1" applyAlignment="1">
      <alignment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 wrapText="1"/>
    </xf>
    <xf numFmtId="0" fontId="9" fillId="3" borderId="7" xfId="2" applyFont="1" applyFill="1" applyBorder="1" applyAlignment="1">
      <alignment horizontal="center" vertical="center" wrapText="1"/>
    </xf>
    <xf numFmtId="0" fontId="9" fillId="3" borderId="8" xfId="2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10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8" fillId="3" borderId="10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9" fillId="3" borderId="13" xfId="2" applyFont="1" applyFill="1" applyBorder="1" applyAlignment="1">
      <alignment horizontal="center" vertical="center"/>
    </xf>
    <xf numFmtId="0" fontId="9" fillId="3" borderId="14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/>
    </xf>
    <xf numFmtId="0" fontId="10" fillId="0" borderId="9" xfId="2" applyFont="1" applyBorder="1" applyAlignment="1">
      <alignment vertical="center"/>
    </xf>
    <xf numFmtId="0" fontId="8" fillId="0" borderId="17" xfId="2" applyFont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left" vertical="center"/>
    </xf>
    <xf numFmtId="0" fontId="8" fillId="0" borderId="9" xfId="2" applyFont="1" applyBorder="1" applyAlignment="1">
      <alignment horizontal="center" vertical="center"/>
    </xf>
    <xf numFmtId="0" fontId="8" fillId="0" borderId="9" xfId="2" quotePrefix="1" applyFont="1" applyBorder="1" applyAlignment="1">
      <alignment horizontal="center" vertical="center"/>
    </xf>
    <xf numFmtId="0" fontId="8" fillId="6" borderId="9" xfId="3" applyFont="1" applyFill="1" applyBorder="1" applyAlignment="1">
      <alignment horizontal="center" vertical="center"/>
    </xf>
    <xf numFmtId="0" fontId="8" fillId="0" borderId="9" xfId="3" applyFont="1" applyBorder="1" applyAlignment="1">
      <alignment horizontal="center" vertical="center"/>
    </xf>
    <xf numFmtId="0" fontId="12" fillId="7" borderId="9" xfId="2" quotePrefix="1" applyFont="1" applyFill="1" applyBorder="1" applyAlignment="1">
      <alignment horizontal="center" vertical="center"/>
    </xf>
    <xf numFmtId="0" fontId="13" fillId="0" borderId="9" xfId="2" applyFont="1" applyBorder="1"/>
    <xf numFmtId="0" fontId="13" fillId="0" borderId="0" xfId="2" applyFont="1"/>
    <xf numFmtId="0" fontId="14" fillId="0" borderId="0" xfId="2" applyFont="1" applyAlignment="1">
      <alignment vertical="center"/>
    </xf>
    <xf numFmtId="0" fontId="15" fillId="0" borderId="17" xfId="2" applyFont="1" applyBorder="1" applyAlignment="1">
      <alignment vertical="center"/>
    </xf>
    <xf numFmtId="0" fontId="12" fillId="6" borderId="9" xfId="0" applyFont="1" applyFill="1" applyBorder="1" applyAlignment="1">
      <alignment horizontal="left" vertical="center"/>
    </xf>
    <xf numFmtId="0" fontId="12" fillId="7" borderId="9" xfId="2" applyFont="1" applyFill="1" applyBorder="1" applyAlignment="1">
      <alignment horizontal="center" vertical="center"/>
    </xf>
    <xf numFmtId="0" fontId="12" fillId="7" borderId="9" xfId="3" applyFont="1" applyFill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17" fillId="0" borderId="9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17" fillId="0" borderId="0" xfId="2" applyFont="1"/>
    <xf numFmtId="0" fontId="12" fillId="0" borderId="9" xfId="0" applyFont="1" applyBorder="1" applyAlignment="1">
      <alignment horizontal="center" vertical="center"/>
    </xf>
    <xf numFmtId="188" fontId="12" fillId="0" borderId="9" xfId="0" applyNumberFormat="1" applyFont="1" applyBorder="1" applyAlignment="1">
      <alignment horizontal="center" vertical="center"/>
    </xf>
    <xf numFmtId="189" fontId="12" fillId="0" borderId="9" xfId="0" applyNumberFormat="1" applyFont="1" applyBorder="1" applyAlignment="1">
      <alignment horizontal="center" vertical="center"/>
    </xf>
    <xf numFmtId="0" fontId="13" fillId="0" borderId="9" xfId="2" applyFont="1" applyBorder="1" applyAlignment="1">
      <alignment vertical="center"/>
    </xf>
    <xf numFmtId="0" fontId="18" fillId="0" borderId="0" xfId="0" applyFont="1"/>
    <xf numFmtId="0" fontId="19" fillId="0" borderId="0" xfId="2" applyFont="1"/>
    <xf numFmtId="0" fontId="1" fillId="0" borderId="0" xfId="2"/>
    <xf numFmtId="0" fontId="17" fillId="7" borderId="9" xfId="2" applyFont="1" applyFill="1" applyBorder="1"/>
    <xf numFmtId="0" fontId="17" fillId="0" borderId="9" xfId="2" applyFont="1" applyBorder="1"/>
    <xf numFmtId="0" fontId="12" fillId="5" borderId="9" xfId="2" applyFont="1" applyFill="1" applyBorder="1" applyAlignment="1">
      <alignment horizontal="center" vertical="center"/>
    </xf>
    <xf numFmtId="0" fontId="12" fillId="7" borderId="9" xfId="4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15" fillId="0" borderId="9" xfId="2" applyFont="1" applyBorder="1" applyAlignment="1">
      <alignment vertical="center"/>
    </xf>
    <xf numFmtId="0" fontId="12" fillId="7" borderId="9" xfId="0" applyFont="1" applyFill="1" applyBorder="1" applyAlignment="1">
      <alignment horizontal="center" vertical="center"/>
    </xf>
    <xf numFmtId="0" fontId="8" fillId="0" borderId="9" xfId="0" applyFont="1" applyBorder="1"/>
    <xf numFmtId="0" fontId="18" fillId="0" borderId="9" xfId="0" applyFont="1" applyBorder="1"/>
    <xf numFmtId="0" fontId="8" fillId="0" borderId="0" xfId="0" applyFont="1"/>
    <xf numFmtId="0" fontId="8" fillId="6" borderId="9" xfId="0" applyFont="1" applyFill="1" applyBorder="1"/>
    <xf numFmtId="0" fontId="12" fillId="6" borderId="9" xfId="2" applyFont="1" applyFill="1" applyBorder="1" applyAlignment="1">
      <alignment vertical="center"/>
    </xf>
    <xf numFmtId="0" fontId="13" fillId="0" borderId="0" xfId="2" applyFont="1" applyAlignment="1">
      <alignment vertical="center"/>
    </xf>
    <xf numFmtId="0" fontId="1" fillId="0" borderId="0" xfId="2" applyAlignment="1">
      <alignment vertical="center"/>
    </xf>
    <xf numFmtId="0" fontId="12" fillId="7" borderId="9" xfId="0" quotePrefix="1" applyFont="1" applyFill="1" applyBorder="1" applyAlignment="1">
      <alignment horizontal="center" vertical="center"/>
    </xf>
    <xf numFmtId="0" fontId="12" fillId="6" borderId="9" xfId="2" applyFont="1" applyFill="1" applyBorder="1" applyAlignment="1">
      <alignment horizontal="center" vertical="center"/>
    </xf>
    <xf numFmtId="0" fontId="12" fillId="6" borderId="9" xfId="2" applyFont="1" applyFill="1" applyBorder="1" applyAlignment="1">
      <alignment horizontal="left" vertical="center"/>
    </xf>
    <xf numFmtId="0" fontId="8" fillId="6" borderId="9" xfId="2" applyFont="1" applyFill="1" applyBorder="1" applyAlignment="1">
      <alignment horizontal="center" vertical="center"/>
    </xf>
    <xf numFmtId="0" fontId="12" fillId="5" borderId="9" xfId="4" applyFont="1" applyFill="1" applyBorder="1" applyAlignment="1">
      <alignment horizontal="center" vertical="center"/>
    </xf>
    <xf numFmtId="0" fontId="12" fillId="6" borderId="9" xfId="4" applyFont="1" applyFill="1" applyBorder="1" applyAlignment="1">
      <alignment horizontal="left" vertical="center"/>
    </xf>
    <xf numFmtId="0" fontId="12" fillId="6" borderId="9" xfId="4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/>
    </xf>
    <xf numFmtId="0" fontId="12" fillId="6" borderId="9" xfId="0" applyFont="1" applyFill="1" applyBorder="1"/>
    <xf numFmtId="0" fontId="8" fillId="6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vertical="center"/>
    </xf>
    <xf numFmtId="0" fontId="16" fillId="6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16" fillId="0" borderId="9" xfId="2" applyFont="1" applyBorder="1" applyAlignment="1">
      <alignment vertical="center"/>
    </xf>
    <xf numFmtId="0" fontId="9" fillId="0" borderId="9" xfId="2" applyFont="1" applyBorder="1" applyAlignment="1">
      <alignment horizontal="center" vertical="center"/>
    </xf>
    <xf numFmtId="0" fontId="12" fillId="6" borderId="9" xfId="3" quotePrefix="1" applyFont="1" applyFill="1" applyBorder="1" applyAlignment="1">
      <alignment horizontal="center" vertical="center"/>
    </xf>
    <xf numFmtId="0" fontId="12" fillId="7" borderId="9" xfId="3" quotePrefix="1" applyFont="1" applyFill="1" applyBorder="1" applyAlignment="1">
      <alignment horizontal="center" vertical="center"/>
    </xf>
    <xf numFmtId="0" fontId="1" fillId="0" borderId="9" xfId="2" applyBorder="1" applyAlignment="1">
      <alignment vertical="center"/>
    </xf>
    <xf numFmtId="0" fontId="1" fillId="0" borderId="9" xfId="2" applyBorder="1"/>
    <xf numFmtId="0" fontId="19" fillId="0" borderId="9" xfId="2" applyFont="1" applyBorder="1"/>
    <xf numFmtId="0" fontId="12" fillId="5" borderId="9" xfId="3" applyFont="1" applyFill="1" applyBorder="1" applyAlignment="1">
      <alignment horizontal="center" vertical="center"/>
    </xf>
    <xf numFmtId="0" fontId="12" fillId="8" borderId="9" xfId="4" applyFont="1" applyFill="1" applyBorder="1" applyAlignment="1">
      <alignment horizontal="center" vertical="center"/>
    </xf>
    <xf numFmtId="0" fontId="12" fillId="7" borderId="9" xfId="2" applyFont="1" applyFill="1" applyBorder="1" applyAlignment="1">
      <alignment vertical="center"/>
    </xf>
    <xf numFmtId="0" fontId="16" fillId="6" borderId="9" xfId="2" applyFont="1" applyFill="1" applyBorder="1" applyAlignment="1">
      <alignment horizontal="center" vertical="center"/>
    </xf>
    <xf numFmtId="0" fontId="20" fillId="0" borderId="0" xfId="2" applyFont="1" applyAlignment="1">
      <alignment vertical="center"/>
    </xf>
    <xf numFmtId="0" fontId="12" fillId="5" borderId="0" xfId="2" applyFont="1" applyFill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7" fillId="9" borderId="9" xfId="2" applyFont="1" applyFill="1" applyBorder="1"/>
    <xf numFmtId="0" fontId="8" fillId="9" borderId="9" xfId="0" applyFont="1" applyFill="1" applyBorder="1" applyAlignment="1">
      <alignment horizontal="center"/>
    </xf>
    <xf numFmtId="0" fontId="12" fillId="5" borderId="9" xfId="2" quotePrefix="1" applyFont="1" applyFill="1" applyBorder="1" applyAlignment="1">
      <alignment horizontal="center" vertical="center"/>
    </xf>
    <xf numFmtId="0" fontId="8" fillId="6" borderId="9" xfId="2" applyFont="1" applyFill="1" applyBorder="1" applyAlignment="1">
      <alignment vertical="center"/>
    </xf>
    <xf numFmtId="0" fontId="21" fillId="0" borderId="9" xfId="2" applyFont="1" applyBorder="1" applyAlignment="1">
      <alignment vertical="center"/>
    </xf>
    <xf numFmtId="188" fontId="12" fillId="6" borderId="9" xfId="0" applyNumberFormat="1" applyFont="1" applyFill="1" applyBorder="1" applyAlignment="1">
      <alignment horizontal="center" vertical="center"/>
    </xf>
    <xf numFmtId="189" fontId="12" fillId="6" borderId="9" xfId="0" applyNumberFormat="1" applyFont="1" applyFill="1" applyBorder="1" applyAlignment="1">
      <alignment horizontal="center" vertical="center"/>
    </xf>
    <xf numFmtId="0" fontId="12" fillId="10" borderId="9" xfId="4" applyFont="1" applyFill="1" applyBorder="1" applyAlignment="1">
      <alignment horizontal="center" vertical="center"/>
    </xf>
    <xf numFmtId="0" fontId="21" fillId="0" borderId="0" xfId="2" applyFont="1" applyAlignment="1">
      <alignment vertical="center"/>
    </xf>
    <xf numFmtId="0" fontId="16" fillId="11" borderId="9" xfId="2" applyFont="1" applyFill="1" applyBorder="1" applyAlignment="1">
      <alignment horizontal="center" vertical="center"/>
    </xf>
    <xf numFmtId="0" fontId="8" fillId="6" borderId="9" xfId="2" quotePrefix="1" applyFont="1" applyFill="1" applyBorder="1" applyAlignment="1">
      <alignment horizontal="center" vertical="center"/>
    </xf>
    <xf numFmtId="0" fontId="12" fillId="6" borderId="9" xfId="2" quotePrefix="1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12" fillId="5" borderId="9" xfId="3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9" fillId="7" borderId="9" xfId="2" applyFont="1" applyFill="1" applyBorder="1" applyAlignment="1">
      <alignment horizontal="center" vertical="center"/>
    </xf>
    <xf numFmtId="0" fontId="8" fillId="7" borderId="9" xfId="2" applyFont="1" applyFill="1" applyBorder="1" applyAlignment="1">
      <alignment horizontal="center" vertical="center"/>
    </xf>
    <xf numFmtId="0" fontId="8" fillId="7" borderId="9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 wrapText="1"/>
    </xf>
    <xf numFmtId="0" fontId="12" fillId="7" borderId="9" xfId="3" applyFont="1" applyFill="1" applyBorder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12" fillId="6" borderId="0" xfId="2" applyFont="1" applyFill="1" applyAlignment="1">
      <alignment horizontal="left" vertical="center"/>
    </xf>
    <xf numFmtId="0" fontId="15" fillId="0" borderId="0" xfId="2" applyFont="1" applyAlignment="1">
      <alignment vertical="center"/>
    </xf>
  </cellXfs>
  <cellStyles count="5">
    <cellStyle name="Comma" xfId="1" builtinId="3"/>
    <cellStyle name="Normal" xfId="0" builtinId="0"/>
    <cellStyle name="Normal 2" xfId="3" xr:uid="{75DD831C-223B-4886-A17D-827740BBAD46}"/>
    <cellStyle name="Normal 3" xfId="2" xr:uid="{474B846B-2FA8-409C-B2AC-31ABA4605679}"/>
    <cellStyle name="Normal 4" xfId="4" xr:uid="{BF991785-F237-4EF7-A9BC-A4DBE4BD3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9F3C-4D71-41B3-8745-7E5F4DCD6AE8}">
  <sheetPr filterMode="1">
    <tabColor rgb="FFFF0000"/>
    <outlinePr summaryBelow="0" summaryRight="0"/>
  </sheetPr>
  <dimension ref="A1:S722"/>
  <sheetViews>
    <sheetView tabSelected="1" topLeftCell="B120" zoomScale="55" zoomScaleNormal="55" zoomScaleSheetLayoutView="70" zoomScalePageLayoutView="60" workbookViewId="0">
      <selection activeCell="D292" sqref="D292"/>
    </sheetView>
  </sheetViews>
  <sheetFormatPr defaultColWidth="14.33203125" defaultRowHeight="30" customHeight="1" x14ac:dyDescent="0.3"/>
  <cols>
    <col min="1" max="1" width="7.83203125" style="69" customWidth="1"/>
    <col min="2" max="2" width="36.83203125" style="69" customWidth="1"/>
    <col min="3" max="3" width="39.83203125" style="69" customWidth="1"/>
    <col min="4" max="4" width="14.58203125" style="69" customWidth="1"/>
    <col min="5" max="5" width="16.33203125" style="69" customWidth="1"/>
    <col min="6" max="6" width="16" style="69" customWidth="1"/>
    <col min="7" max="7" width="28.25" style="69" customWidth="1"/>
    <col min="8" max="9" width="9" style="69" customWidth="1"/>
    <col min="10" max="12" width="14.33203125" style="69" customWidth="1"/>
    <col min="13" max="13" width="16.33203125" style="69" customWidth="1"/>
    <col min="14" max="19" width="14.33203125" style="46"/>
    <col min="20" max="16384" width="14.33203125" style="69"/>
  </cols>
  <sheetData>
    <row r="1" spans="1:19" s="4" customFormat="1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</row>
    <row r="2" spans="1:19" s="4" customFormat="1" ht="30" customHeight="1" x14ac:dyDescent="0.3">
      <c r="A2" s="5"/>
      <c r="B2" s="5"/>
      <c r="C2" s="5"/>
      <c r="D2" s="5"/>
      <c r="E2" s="5"/>
      <c r="F2" s="5"/>
      <c r="G2" s="5"/>
      <c r="H2" s="6">
        <f>SUBTOTAL(9,H6:H267)</f>
        <v>48</v>
      </c>
      <c r="I2" s="5"/>
      <c r="J2" s="5"/>
      <c r="K2" s="5"/>
      <c r="L2" s="5"/>
      <c r="N2" s="3"/>
      <c r="O2" s="3"/>
      <c r="P2" s="3"/>
      <c r="Q2" s="3"/>
      <c r="R2" s="3"/>
      <c r="S2" s="3"/>
    </row>
    <row r="3" spans="1:19" s="16" customFormat="1" ht="30" customHeight="1" x14ac:dyDescent="0.3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0" t="s">
        <v>9</v>
      </c>
      <c r="J3" s="11" t="s">
        <v>10</v>
      </c>
      <c r="K3" s="12" t="s">
        <v>11</v>
      </c>
      <c r="L3" s="13"/>
      <c r="M3" s="14" t="s">
        <v>12</v>
      </c>
      <c r="N3" s="14" t="s">
        <v>13</v>
      </c>
      <c r="O3" s="14"/>
      <c r="P3" s="14" t="s">
        <v>14</v>
      </c>
      <c r="Q3" s="15"/>
      <c r="R3" s="15"/>
      <c r="S3" s="15"/>
    </row>
    <row r="4" spans="1:19" s="16" customFormat="1" ht="30" customHeight="1" x14ac:dyDescent="0.3">
      <c r="A4" s="17"/>
      <c r="B4" s="18"/>
      <c r="C4" s="19"/>
      <c r="D4" s="19"/>
      <c r="E4" s="19"/>
      <c r="F4" s="19"/>
      <c r="G4" s="19"/>
      <c r="H4" s="19"/>
      <c r="I4" s="20"/>
      <c r="J4" s="21"/>
      <c r="K4" s="22"/>
      <c r="L4" s="23" t="s">
        <v>15</v>
      </c>
      <c r="M4" s="24"/>
      <c r="N4" s="24"/>
      <c r="O4" s="24"/>
      <c r="P4" s="24"/>
      <c r="Q4" s="15"/>
      <c r="R4" s="15"/>
      <c r="S4" s="15"/>
    </row>
    <row r="5" spans="1:19" s="16" customFormat="1" ht="30" customHeight="1" x14ac:dyDescent="0.3">
      <c r="A5" s="25"/>
      <c r="B5" s="26"/>
      <c r="C5" s="27"/>
      <c r="D5" s="27"/>
      <c r="E5" s="27"/>
      <c r="F5" s="27"/>
      <c r="G5" s="27"/>
      <c r="H5" s="27"/>
      <c r="I5" s="27"/>
      <c r="J5" s="26"/>
      <c r="K5" s="26"/>
      <c r="L5" s="26"/>
      <c r="M5" s="26"/>
      <c r="N5" s="28"/>
      <c r="O5" s="28"/>
      <c r="P5" s="28"/>
      <c r="Q5" s="15"/>
      <c r="R5" s="15"/>
      <c r="S5" s="15"/>
    </row>
    <row r="6" spans="1:19" s="39" customFormat="1" ht="30" hidden="1" customHeight="1" x14ac:dyDescent="1.05">
      <c r="A6" s="29">
        <f>A5+1</f>
        <v>1</v>
      </c>
      <c r="B6" s="30"/>
      <c r="C6" s="31" t="s">
        <v>16</v>
      </c>
      <c r="D6" s="32"/>
      <c r="E6" s="32"/>
      <c r="F6" s="33" t="s">
        <v>17</v>
      </c>
      <c r="G6" s="33"/>
      <c r="H6" s="34">
        <v>2</v>
      </c>
      <c r="I6" s="35" t="s">
        <v>18</v>
      </c>
      <c r="J6" s="32" t="s">
        <v>19</v>
      </c>
      <c r="K6" s="32" t="s">
        <v>20</v>
      </c>
      <c r="L6" s="32"/>
      <c r="M6" s="36" t="s">
        <v>21</v>
      </c>
      <c r="N6" s="37"/>
      <c r="O6" s="37"/>
      <c r="P6" s="37">
        <v>1</v>
      </c>
      <c r="Q6" s="38"/>
      <c r="R6" s="38"/>
      <c r="S6" s="38"/>
    </row>
    <row r="7" spans="1:19" s="39" customFormat="1" ht="30" customHeight="1" x14ac:dyDescent="0.3">
      <c r="A7" s="40"/>
      <c r="B7" s="30">
        <v>1</v>
      </c>
      <c r="C7" s="41" t="s">
        <v>22</v>
      </c>
      <c r="D7" s="42"/>
      <c r="E7" s="42"/>
      <c r="F7" s="36" t="s">
        <v>23</v>
      </c>
      <c r="G7" s="42"/>
      <c r="H7" s="42">
        <v>1</v>
      </c>
      <c r="I7" s="43" t="s">
        <v>24</v>
      </c>
      <c r="J7" s="42" t="s">
        <v>25</v>
      </c>
      <c r="K7" s="42" t="s">
        <v>25</v>
      </c>
      <c r="L7" s="42"/>
      <c r="M7" s="44" t="s">
        <v>26</v>
      </c>
      <c r="N7" s="45"/>
      <c r="O7" s="45"/>
      <c r="P7" s="45">
        <v>1</v>
      </c>
      <c r="Q7" s="46"/>
      <c r="R7" s="46"/>
      <c r="S7" s="46"/>
    </row>
    <row r="8" spans="1:19" s="39" customFormat="1" ht="30" customHeight="1" x14ac:dyDescent="0.3">
      <c r="A8" s="40"/>
      <c r="B8" s="30">
        <v>2</v>
      </c>
      <c r="C8" s="41" t="s">
        <v>27</v>
      </c>
      <c r="D8" s="42"/>
      <c r="E8" s="42"/>
      <c r="F8" s="36" t="s">
        <v>28</v>
      </c>
      <c r="G8" s="42"/>
      <c r="H8" s="42">
        <v>1</v>
      </c>
      <c r="I8" s="43" t="s">
        <v>24</v>
      </c>
      <c r="J8" s="42" t="s">
        <v>25</v>
      </c>
      <c r="K8" s="42" t="s">
        <v>25</v>
      </c>
      <c r="L8" s="42"/>
      <c r="M8" s="44" t="s">
        <v>26</v>
      </c>
      <c r="N8" s="45"/>
      <c r="O8" s="45"/>
      <c r="P8" s="45">
        <v>1</v>
      </c>
      <c r="Q8" s="46"/>
      <c r="R8" s="46"/>
      <c r="S8" s="46"/>
    </row>
    <row r="9" spans="1:19" s="39" customFormat="1" ht="30" customHeight="1" x14ac:dyDescent="0.25">
      <c r="A9" s="29">
        <f>A8+1</f>
        <v>1</v>
      </c>
      <c r="B9" s="47">
        <v>3</v>
      </c>
      <c r="C9" s="41" t="s">
        <v>29</v>
      </c>
      <c r="D9" s="42"/>
      <c r="E9" s="42"/>
      <c r="F9" s="36" t="s">
        <v>30</v>
      </c>
      <c r="G9" s="42"/>
      <c r="H9" s="42">
        <v>1</v>
      </c>
      <c r="I9" s="43" t="s">
        <v>24</v>
      </c>
      <c r="J9" s="42" t="s">
        <v>25</v>
      </c>
      <c r="K9" s="42" t="s">
        <v>25</v>
      </c>
      <c r="L9" s="42"/>
      <c r="M9" s="44" t="s">
        <v>26</v>
      </c>
      <c r="N9" s="45"/>
      <c r="O9" s="45"/>
      <c r="P9" s="45">
        <v>1</v>
      </c>
      <c r="Q9" s="48"/>
      <c r="R9" s="48"/>
      <c r="S9" s="48"/>
    </row>
    <row r="10" spans="1:19" s="54" customFormat="1" ht="30" hidden="1" customHeight="1" x14ac:dyDescent="1.05">
      <c r="A10" s="29">
        <v>6</v>
      </c>
      <c r="B10" s="30"/>
      <c r="C10" s="41" t="s">
        <v>31</v>
      </c>
      <c r="D10" s="49"/>
      <c r="E10" s="50"/>
      <c r="F10" s="49" t="s">
        <v>32</v>
      </c>
      <c r="G10" s="49"/>
      <c r="H10" s="49">
        <v>1</v>
      </c>
      <c r="I10" s="49" t="s">
        <v>18</v>
      </c>
      <c r="J10" s="49" t="s">
        <v>25</v>
      </c>
      <c r="K10" s="51"/>
      <c r="L10" s="51"/>
      <c r="M10" s="44" t="s">
        <v>33</v>
      </c>
      <c r="N10" s="52"/>
      <c r="O10" s="52"/>
      <c r="P10" s="52">
        <v>1</v>
      </c>
      <c r="Q10" s="53"/>
      <c r="R10" s="53"/>
      <c r="S10" s="53"/>
    </row>
    <row r="11" spans="1:19" s="55" customFormat="1" ht="30" hidden="1" customHeight="1" x14ac:dyDescent="0.85">
      <c r="A11" s="29">
        <f>A10+1</f>
        <v>7</v>
      </c>
      <c r="B11" s="30"/>
      <c r="C11" s="41" t="s">
        <v>31</v>
      </c>
      <c r="D11" s="49"/>
      <c r="E11" s="50"/>
      <c r="F11" s="49" t="s">
        <v>34</v>
      </c>
      <c r="G11" s="49"/>
      <c r="H11" s="49">
        <v>1</v>
      </c>
      <c r="I11" s="49" t="s">
        <v>18</v>
      </c>
      <c r="J11" s="49" t="s">
        <v>25</v>
      </c>
      <c r="K11" s="51"/>
      <c r="L11" s="51"/>
      <c r="M11" s="44" t="s">
        <v>33</v>
      </c>
      <c r="N11" s="52"/>
      <c r="O11" s="52"/>
      <c r="P11" s="52">
        <v>1</v>
      </c>
      <c r="Q11" s="53"/>
      <c r="R11" s="53"/>
      <c r="S11" s="53"/>
    </row>
    <row r="12" spans="1:19" s="55" customFormat="1" ht="30" hidden="1" customHeight="1" x14ac:dyDescent="0.85">
      <c r="A12" s="29">
        <f>A11+1</f>
        <v>8</v>
      </c>
      <c r="B12" s="30"/>
      <c r="C12" s="41" t="s">
        <v>31</v>
      </c>
      <c r="D12" s="49"/>
      <c r="E12" s="50"/>
      <c r="F12" s="49" t="s">
        <v>35</v>
      </c>
      <c r="G12" s="49"/>
      <c r="H12" s="49">
        <v>1</v>
      </c>
      <c r="I12" s="49" t="s">
        <v>18</v>
      </c>
      <c r="J12" s="49" t="s">
        <v>25</v>
      </c>
      <c r="K12" s="51"/>
      <c r="L12" s="51"/>
      <c r="M12" s="44" t="s">
        <v>33</v>
      </c>
      <c r="N12" s="56"/>
      <c r="O12" s="56"/>
      <c r="P12" s="57">
        <v>1</v>
      </c>
      <c r="Q12" s="53"/>
      <c r="R12" s="53"/>
      <c r="S12" s="53"/>
    </row>
    <row r="13" spans="1:19" s="39" customFormat="1" ht="30" hidden="1" customHeight="1" x14ac:dyDescent="0.85">
      <c r="A13" s="29">
        <f>A12+1</f>
        <v>9</v>
      </c>
      <c r="B13" s="30"/>
      <c r="C13" s="41" t="s">
        <v>31</v>
      </c>
      <c r="D13" s="49"/>
      <c r="E13" s="50"/>
      <c r="F13" s="49" t="s">
        <v>36</v>
      </c>
      <c r="G13" s="49"/>
      <c r="H13" s="49">
        <v>1</v>
      </c>
      <c r="I13" s="49" t="s">
        <v>18</v>
      </c>
      <c r="J13" s="49" t="s">
        <v>25</v>
      </c>
      <c r="K13" s="51"/>
      <c r="L13" s="51"/>
      <c r="M13" s="44" t="s">
        <v>33</v>
      </c>
      <c r="N13" s="52"/>
      <c r="O13" s="52"/>
      <c r="P13" s="52">
        <v>1</v>
      </c>
      <c r="Q13" s="53"/>
      <c r="R13" s="53"/>
      <c r="S13" s="53"/>
    </row>
    <row r="14" spans="1:19" s="39" customFormat="1" ht="30" hidden="1" customHeight="1" x14ac:dyDescent="0.3">
      <c r="A14" s="40"/>
      <c r="B14" s="30"/>
      <c r="C14" s="41" t="s">
        <v>31</v>
      </c>
      <c r="D14" s="49"/>
      <c r="E14" s="50"/>
      <c r="F14" s="49" t="s">
        <v>34</v>
      </c>
      <c r="G14" s="49"/>
      <c r="H14" s="49">
        <v>1</v>
      </c>
      <c r="I14" s="49" t="s">
        <v>18</v>
      </c>
      <c r="J14" s="49" t="s">
        <v>25</v>
      </c>
      <c r="K14" s="51"/>
      <c r="L14" s="51"/>
      <c r="M14" s="44" t="s">
        <v>33</v>
      </c>
      <c r="N14" s="45"/>
      <c r="O14" s="45"/>
      <c r="P14" s="45">
        <v>1</v>
      </c>
      <c r="Q14" s="46"/>
      <c r="R14" s="46"/>
      <c r="S14" s="46"/>
    </row>
    <row r="15" spans="1:19" s="39" customFormat="1" ht="30" hidden="1" customHeight="1" x14ac:dyDescent="0.3">
      <c r="A15" s="40"/>
      <c r="B15" s="30"/>
      <c r="C15" s="41" t="s">
        <v>31</v>
      </c>
      <c r="D15" s="49"/>
      <c r="E15" s="50"/>
      <c r="F15" s="49" t="s">
        <v>37</v>
      </c>
      <c r="G15" s="49"/>
      <c r="H15" s="49">
        <v>1</v>
      </c>
      <c r="I15" s="49" t="s">
        <v>18</v>
      </c>
      <c r="J15" s="49" t="s">
        <v>25</v>
      </c>
      <c r="K15" s="51"/>
      <c r="L15" s="51"/>
      <c r="M15" s="44" t="s">
        <v>33</v>
      </c>
      <c r="N15" s="45"/>
      <c r="O15" s="45"/>
      <c r="P15" s="45">
        <v>1</v>
      </c>
      <c r="Q15" s="46"/>
      <c r="R15" s="46"/>
      <c r="S15" s="46"/>
    </row>
    <row r="16" spans="1:19" s="39" customFormat="1" ht="30" hidden="1" customHeight="1" x14ac:dyDescent="0.85">
      <c r="A16" s="29">
        <f>A15+1</f>
        <v>1</v>
      </c>
      <c r="B16" s="58"/>
      <c r="C16" s="41" t="s">
        <v>38</v>
      </c>
      <c r="D16" s="59"/>
      <c r="E16" s="59"/>
      <c r="F16" s="59" t="s">
        <v>39</v>
      </c>
      <c r="G16" s="59"/>
      <c r="H16" s="59">
        <f>2+2+1+2+2+1</f>
        <v>10</v>
      </c>
      <c r="I16" s="59" t="s">
        <v>18</v>
      </c>
      <c r="J16" s="42" t="s">
        <v>25</v>
      </c>
      <c r="K16" s="42" t="s">
        <v>25</v>
      </c>
      <c r="L16" s="42"/>
      <c r="M16" s="44" t="s">
        <v>40</v>
      </c>
      <c r="N16" s="45"/>
      <c r="O16" s="45"/>
      <c r="P16" s="45">
        <v>1</v>
      </c>
      <c r="Q16" s="53"/>
      <c r="R16" s="53"/>
      <c r="S16" s="53"/>
    </row>
    <row r="17" spans="1:19" s="54" customFormat="1" ht="30" hidden="1" customHeight="1" x14ac:dyDescent="1.05">
      <c r="A17" s="29">
        <f>A16+1</f>
        <v>2</v>
      </c>
      <c r="B17" s="58"/>
      <c r="C17" s="41" t="s">
        <v>38</v>
      </c>
      <c r="D17" s="59"/>
      <c r="E17" s="59"/>
      <c r="F17" s="59" t="s">
        <v>17</v>
      </c>
      <c r="G17" s="59"/>
      <c r="H17" s="59">
        <v>1</v>
      </c>
      <c r="I17" s="59" t="s">
        <v>18</v>
      </c>
      <c r="J17" s="42" t="s">
        <v>25</v>
      </c>
      <c r="K17" s="42" t="s">
        <v>25</v>
      </c>
      <c r="L17" s="42"/>
      <c r="M17" s="60" t="s">
        <v>41</v>
      </c>
      <c r="N17" s="37"/>
      <c r="O17" s="37"/>
      <c r="P17" s="37">
        <v>1</v>
      </c>
      <c r="Q17" s="53"/>
      <c r="R17" s="53"/>
      <c r="S17" s="53"/>
    </row>
    <row r="18" spans="1:19" s="55" customFormat="1" ht="30" customHeight="1" x14ac:dyDescent="0.25">
      <c r="A18" s="40"/>
      <c r="B18" s="30">
        <v>4</v>
      </c>
      <c r="C18" s="41" t="s">
        <v>42</v>
      </c>
      <c r="D18" s="61"/>
      <c r="E18" s="61"/>
      <c r="F18" s="36" t="s">
        <v>30</v>
      </c>
      <c r="G18" s="42"/>
      <c r="H18" s="42">
        <v>1</v>
      </c>
      <c r="I18" s="43" t="s">
        <v>24</v>
      </c>
      <c r="J18" s="42" t="s">
        <v>25</v>
      </c>
      <c r="K18" s="42" t="s">
        <v>25</v>
      </c>
      <c r="L18" s="42"/>
      <c r="M18" s="44" t="s">
        <v>26</v>
      </c>
      <c r="N18" s="45"/>
      <c r="O18" s="45"/>
      <c r="P18" s="45">
        <v>1</v>
      </c>
      <c r="Q18" s="46"/>
      <c r="R18" s="46"/>
      <c r="S18" s="46"/>
    </row>
    <row r="19" spans="1:19" s="39" customFormat="1" ht="30" hidden="1" customHeight="1" x14ac:dyDescent="0.85">
      <c r="A19" s="29">
        <f>A18+1</f>
        <v>1</v>
      </c>
      <c r="B19" s="47"/>
      <c r="C19" s="41" t="s">
        <v>43</v>
      </c>
      <c r="D19" s="49"/>
      <c r="E19" s="50"/>
      <c r="F19" s="49" t="s">
        <v>17</v>
      </c>
      <c r="G19" s="49"/>
      <c r="H19" s="49">
        <v>3</v>
      </c>
      <c r="I19" s="49" t="s">
        <v>18</v>
      </c>
      <c r="J19" s="49" t="s">
        <v>25</v>
      </c>
      <c r="K19" s="51">
        <v>46157</v>
      </c>
      <c r="L19" s="51"/>
      <c r="M19" s="62" t="s">
        <v>44</v>
      </c>
      <c r="N19" s="56" t="s">
        <v>45</v>
      </c>
      <c r="O19" s="56"/>
      <c r="P19" s="57">
        <v>1</v>
      </c>
      <c r="Q19" s="53"/>
      <c r="R19" s="53"/>
      <c r="S19" s="53"/>
    </row>
    <row r="20" spans="1:19" s="39" customFormat="1" ht="30" hidden="1" customHeight="1" x14ac:dyDescent="0.85">
      <c r="A20" s="29"/>
      <c r="B20" s="47"/>
      <c r="C20" s="41" t="s">
        <v>43</v>
      </c>
      <c r="D20" s="49"/>
      <c r="E20" s="50"/>
      <c r="F20" s="49" t="s">
        <v>46</v>
      </c>
      <c r="G20" s="49"/>
      <c r="H20" s="49">
        <v>1</v>
      </c>
      <c r="I20" s="49" t="s">
        <v>18</v>
      </c>
      <c r="J20" s="49" t="s">
        <v>25</v>
      </c>
      <c r="K20" s="51">
        <v>46157</v>
      </c>
      <c r="L20" s="51"/>
      <c r="M20" s="62" t="s">
        <v>44</v>
      </c>
      <c r="N20" s="56"/>
      <c r="O20" s="56"/>
      <c r="P20" s="57">
        <v>1</v>
      </c>
      <c r="Q20" s="53"/>
      <c r="R20" s="53"/>
      <c r="S20" s="53"/>
    </row>
    <row r="21" spans="1:19" s="39" customFormat="1" ht="30" hidden="1" customHeight="1" x14ac:dyDescent="0.85">
      <c r="A21" s="29"/>
      <c r="B21" s="47"/>
      <c r="C21" s="41" t="s">
        <v>43</v>
      </c>
      <c r="D21" s="49"/>
      <c r="E21" s="50"/>
      <c r="F21" s="49" t="s">
        <v>47</v>
      </c>
      <c r="G21" s="49"/>
      <c r="H21" s="49">
        <v>1</v>
      </c>
      <c r="I21" s="49" t="s">
        <v>18</v>
      </c>
      <c r="J21" s="49" t="s">
        <v>25</v>
      </c>
      <c r="K21" s="51">
        <v>46157</v>
      </c>
      <c r="L21" s="51"/>
      <c r="M21" s="62" t="s">
        <v>44</v>
      </c>
      <c r="N21" s="56"/>
      <c r="O21" s="56"/>
      <c r="P21" s="57">
        <v>1</v>
      </c>
      <c r="Q21" s="53"/>
      <c r="R21" s="53"/>
      <c r="S21" s="53"/>
    </row>
    <row r="22" spans="1:19" s="39" customFormat="1" ht="30" hidden="1" customHeight="1" x14ac:dyDescent="1.05">
      <c r="A22" s="29">
        <f>A21+1</f>
        <v>1</v>
      </c>
      <c r="B22" s="30"/>
      <c r="C22" s="31" t="s">
        <v>43</v>
      </c>
      <c r="D22" s="32"/>
      <c r="E22" s="32"/>
      <c r="F22" s="33" t="s">
        <v>17</v>
      </c>
      <c r="G22" s="33"/>
      <c r="H22" s="35">
        <v>2</v>
      </c>
      <c r="I22" s="35" t="s">
        <v>18</v>
      </c>
      <c r="J22" s="49" t="s">
        <v>25</v>
      </c>
      <c r="K22" s="32" t="s">
        <v>20</v>
      </c>
      <c r="L22" s="32"/>
      <c r="M22" s="36" t="s">
        <v>21</v>
      </c>
      <c r="N22" s="37"/>
      <c r="O22" s="37"/>
      <c r="P22" s="37">
        <v>1</v>
      </c>
      <c r="Q22" s="38"/>
      <c r="R22" s="38"/>
      <c r="S22" s="38"/>
    </row>
    <row r="23" spans="1:19" s="39" customFormat="1" ht="30" hidden="1" customHeight="1" x14ac:dyDescent="0.85">
      <c r="A23" s="29">
        <f>A22+1</f>
        <v>2</v>
      </c>
      <c r="B23" s="47"/>
      <c r="C23" s="41" t="s">
        <v>43</v>
      </c>
      <c r="D23" s="60"/>
      <c r="E23" s="60"/>
      <c r="F23" s="60" t="s">
        <v>17</v>
      </c>
      <c r="G23" s="60"/>
      <c r="H23" s="60">
        <v>4</v>
      </c>
      <c r="I23" s="60" t="s">
        <v>18</v>
      </c>
      <c r="J23" s="60" t="s">
        <v>25</v>
      </c>
      <c r="K23" s="63"/>
      <c r="L23" s="63"/>
      <c r="M23" s="60" t="s">
        <v>41</v>
      </c>
      <c r="N23" s="64"/>
      <c r="O23" s="64"/>
      <c r="P23" s="64">
        <v>1</v>
      </c>
      <c r="Q23" s="53"/>
      <c r="R23" s="53"/>
      <c r="S23" s="53"/>
    </row>
    <row r="24" spans="1:19" s="54" customFormat="1" ht="30" customHeight="1" x14ac:dyDescent="1.05">
      <c r="A24" s="40"/>
      <c r="B24" s="30">
        <v>5</v>
      </c>
      <c r="C24" s="41" t="s">
        <v>48</v>
      </c>
      <c r="D24" s="42"/>
      <c r="E24" s="42"/>
      <c r="F24" s="36" t="s">
        <v>49</v>
      </c>
      <c r="G24" s="42"/>
      <c r="H24" s="42">
        <v>1</v>
      </c>
      <c r="I24" s="43" t="s">
        <v>24</v>
      </c>
      <c r="J24" s="42" t="s">
        <v>25</v>
      </c>
      <c r="K24" s="42" t="s">
        <v>25</v>
      </c>
      <c r="L24" s="42"/>
      <c r="M24" s="44" t="s">
        <v>26</v>
      </c>
      <c r="N24" s="45"/>
      <c r="O24" s="45"/>
      <c r="P24" s="45">
        <v>1</v>
      </c>
      <c r="Q24" s="46"/>
      <c r="R24" s="46"/>
      <c r="S24" s="46"/>
    </row>
    <row r="25" spans="1:19" s="55" customFormat="1" ht="30" customHeight="1" x14ac:dyDescent="0.25">
      <c r="A25" s="40"/>
      <c r="B25" s="30">
        <v>6</v>
      </c>
      <c r="C25" s="41" t="s">
        <v>42</v>
      </c>
      <c r="D25" s="61"/>
      <c r="E25" s="61"/>
      <c r="F25" s="36" t="s">
        <v>30</v>
      </c>
      <c r="G25" s="42"/>
      <c r="H25" s="42">
        <v>1</v>
      </c>
      <c r="I25" s="43" t="s">
        <v>24</v>
      </c>
      <c r="J25" s="42" t="s">
        <v>25</v>
      </c>
      <c r="K25" s="42" t="s">
        <v>25</v>
      </c>
      <c r="L25" s="42"/>
      <c r="M25" s="44" t="s">
        <v>26</v>
      </c>
      <c r="N25" s="45"/>
      <c r="O25" s="45"/>
      <c r="P25" s="45">
        <v>1</v>
      </c>
      <c r="Q25" s="46"/>
      <c r="R25" s="46"/>
      <c r="S25" s="46"/>
    </row>
    <row r="26" spans="1:19" s="65" customFormat="1" ht="28.5" hidden="1" customHeight="1" x14ac:dyDescent="0.85">
      <c r="A26" s="29">
        <f>A25+1</f>
        <v>1</v>
      </c>
      <c r="B26" s="47"/>
      <c r="C26" s="41" t="s">
        <v>50</v>
      </c>
      <c r="D26" s="49"/>
      <c r="E26" s="50"/>
      <c r="F26" s="60" t="s">
        <v>51</v>
      </c>
      <c r="G26" s="49"/>
      <c r="H26" s="49">
        <v>1</v>
      </c>
      <c r="I26" s="49" t="s">
        <v>24</v>
      </c>
      <c r="J26" s="49" t="s">
        <v>25</v>
      </c>
      <c r="K26" s="51">
        <v>46157</v>
      </c>
      <c r="L26" s="51"/>
      <c r="M26" s="62" t="s">
        <v>44</v>
      </c>
      <c r="N26" s="56"/>
      <c r="O26" s="56"/>
      <c r="P26" s="57">
        <v>1</v>
      </c>
      <c r="Q26" s="46"/>
      <c r="R26" s="46"/>
      <c r="S26" s="46"/>
    </row>
    <row r="27" spans="1:19" s="39" customFormat="1" ht="30" hidden="1" customHeight="1" x14ac:dyDescent="0.85">
      <c r="A27" s="29">
        <f>A26+1</f>
        <v>2</v>
      </c>
      <c r="B27" s="47"/>
      <c r="C27" s="66" t="s">
        <v>50</v>
      </c>
      <c r="D27" s="60"/>
      <c r="E27" s="60"/>
      <c r="F27" s="60" t="s">
        <v>23</v>
      </c>
      <c r="G27" s="60"/>
      <c r="H27" s="60">
        <v>1</v>
      </c>
      <c r="I27" s="60" t="s">
        <v>24</v>
      </c>
      <c r="J27" s="60" t="s">
        <v>25</v>
      </c>
      <c r="K27" s="63"/>
      <c r="L27" s="63"/>
      <c r="M27" s="60" t="s">
        <v>41</v>
      </c>
      <c r="N27" s="64"/>
      <c r="O27" s="64"/>
      <c r="P27" s="64">
        <v>1</v>
      </c>
      <c r="Q27" s="53"/>
      <c r="R27" s="53"/>
      <c r="S27" s="53"/>
    </row>
    <row r="28" spans="1:19" s="55" customFormat="1" ht="30" hidden="1" customHeight="1" x14ac:dyDescent="0.25">
      <c r="A28" s="29">
        <v>21</v>
      </c>
      <c r="B28" s="58" t="s">
        <v>52</v>
      </c>
      <c r="C28" s="67" t="s">
        <v>53</v>
      </c>
      <c r="D28" s="42" t="s">
        <v>54</v>
      </c>
      <c r="E28" s="42" t="s">
        <v>55</v>
      </c>
      <c r="F28" s="36"/>
      <c r="G28" s="42" t="s">
        <v>56</v>
      </c>
      <c r="H28" s="42">
        <v>1</v>
      </c>
      <c r="I28" s="43" t="s">
        <v>57</v>
      </c>
      <c r="J28" s="42" t="s">
        <v>25</v>
      </c>
      <c r="K28" s="42" t="s">
        <v>25</v>
      </c>
      <c r="L28" s="42"/>
      <c r="M28" s="44" t="s">
        <v>40</v>
      </c>
      <c r="N28" s="52"/>
      <c r="O28" s="52"/>
      <c r="P28" s="52">
        <v>1</v>
      </c>
      <c r="Q28" s="48"/>
      <c r="R28" s="48"/>
      <c r="S28" s="48"/>
    </row>
    <row r="29" spans="1:19" s="55" customFormat="1" ht="30" hidden="1" customHeight="1" x14ac:dyDescent="0.25">
      <c r="A29" s="29">
        <f>A28+1</f>
        <v>22</v>
      </c>
      <c r="B29" s="58" t="s">
        <v>58</v>
      </c>
      <c r="C29" s="67" t="s">
        <v>59</v>
      </c>
      <c r="D29" s="42" t="s">
        <v>54</v>
      </c>
      <c r="E29" s="42" t="s">
        <v>55</v>
      </c>
      <c r="F29" s="36"/>
      <c r="G29" s="42" t="s">
        <v>60</v>
      </c>
      <c r="H29" s="42">
        <v>1</v>
      </c>
      <c r="I29" s="43" t="s">
        <v>61</v>
      </c>
      <c r="J29" s="42" t="s">
        <v>25</v>
      </c>
      <c r="K29" s="42" t="s">
        <v>25</v>
      </c>
      <c r="L29" s="42"/>
      <c r="M29" s="44" t="s">
        <v>40</v>
      </c>
      <c r="N29" s="52"/>
      <c r="O29" s="52"/>
      <c r="P29" s="52">
        <v>1</v>
      </c>
      <c r="Q29" s="68"/>
      <c r="R29" s="68"/>
      <c r="S29" s="68"/>
    </row>
    <row r="30" spans="1:19" ht="30" customHeight="1" x14ac:dyDescent="0.3">
      <c r="A30" s="40"/>
      <c r="B30" s="30">
        <v>7</v>
      </c>
      <c r="C30" s="41" t="s">
        <v>62</v>
      </c>
      <c r="D30" s="61"/>
      <c r="E30" s="61"/>
      <c r="F30" s="36" t="s">
        <v>49</v>
      </c>
      <c r="G30" s="42"/>
      <c r="H30" s="42">
        <v>1</v>
      </c>
      <c r="I30" s="43" t="s">
        <v>24</v>
      </c>
      <c r="J30" s="42" t="s">
        <v>25</v>
      </c>
      <c r="K30" s="42" t="s">
        <v>25</v>
      </c>
      <c r="L30" s="42"/>
      <c r="M30" s="44" t="s">
        <v>26</v>
      </c>
      <c r="N30" s="45"/>
      <c r="O30" s="45"/>
      <c r="P30" s="45">
        <v>1</v>
      </c>
    </row>
    <row r="31" spans="1:19" ht="30" customHeight="1" x14ac:dyDescent="0.3">
      <c r="A31" s="40"/>
      <c r="B31" s="30">
        <v>8</v>
      </c>
      <c r="C31" s="41" t="s">
        <v>63</v>
      </c>
      <c r="D31" s="61"/>
      <c r="E31" s="61"/>
      <c r="F31" s="36" t="s">
        <v>28</v>
      </c>
      <c r="G31" s="42"/>
      <c r="H31" s="42">
        <v>1</v>
      </c>
      <c r="I31" s="43" t="s">
        <v>24</v>
      </c>
      <c r="J31" s="42" t="s">
        <v>25</v>
      </c>
      <c r="K31" s="42" t="s">
        <v>25</v>
      </c>
      <c r="L31" s="42"/>
      <c r="M31" s="44" t="s">
        <v>26</v>
      </c>
      <c r="N31" s="45"/>
      <c r="O31" s="45"/>
      <c r="P31" s="45">
        <v>1</v>
      </c>
    </row>
    <row r="32" spans="1:19" ht="30" hidden="1" customHeight="1" x14ac:dyDescent="0.25">
      <c r="A32" s="29">
        <v>4</v>
      </c>
      <c r="B32" s="58" t="s">
        <v>64</v>
      </c>
      <c r="C32" s="67" t="s">
        <v>65</v>
      </c>
      <c r="D32" s="42" t="s">
        <v>66</v>
      </c>
      <c r="E32" s="42" t="s">
        <v>67</v>
      </c>
      <c r="F32" s="70" t="s">
        <v>68</v>
      </c>
      <c r="G32" s="71" t="s">
        <v>69</v>
      </c>
      <c r="H32" s="42">
        <v>1</v>
      </c>
      <c r="I32" s="43" t="s">
        <v>70</v>
      </c>
      <c r="J32" s="42" t="s">
        <v>25</v>
      </c>
      <c r="K32" s="42" t="s">
        <v>25</v>
      </c>
      <c r="L32" s="42"/>
      <c r="M32" s="44" t="s">
        <v>40</v>
      </c>
      <c r="N32" s="52"/>
      <c r="O32" s="52"/>
      <c r="P32" s="52">
        <v>1</v>
      </c>
      <c r="Q32" s="48"/>
      <c r="R32" s="48"/>
      <c r="S32" s="48"/>
    </row>
    <row r="33" spans="1:19" s="55" customFormat="1" ht="30" hidden="1" customHeight="1" x14ac:dyDescent="0.25">
      <c r="A33" s="29">
        <f>A32+1</f>
        <v>5</v>
      </c>
      <c r="B33" s="58" t="s">
        <v>71</v>
      </c>
      <c r="C33" s="67" t="s">
        <v>65</v>
      </c>
      <c r="D33" s="42" t="s">
        <v>66</v>
      </c>
      <c r="E33" s="42" t="s">
        <v>67</v>
      </c>
      <c r="F33" s="70" t="s">
        <v>68</v>
      </c>
      <c r="G33" s="71" t="s">
        <v>72</v>
      </c>
      <c r="H33" s="42">
        <v>1</v>
      </c>
      <c r="I33" s="43" t="s">
        <v>70</v>
      </c>
      <c r="J33" s="42" t="s">
        <v>25</v>
      </c>
      <c r="K33" s="42" t="s">
        <v>25</v>
      </c>
      <c r="L33" s="42"/>
      <c r="M33" s="44" t="s">
        <v>40</v>
      </c>
      <c r="N33" s="52"/>
      <c r="O33" s="52"/>
      <c r="P33" s="52">
        <v>1</v>
      </c>
      <c r="Q33" s="48"/>
      <c r="R33" s="48"/>
      <c r="S33" s="48"/>
    </row>
    <row r="34" spans="1:19" s="39" customFormat="1" ht="30" hidden="1" customHeight="1" x14ac:dyDescent="1.05">
      <c r="A34" s="29">
        <f>A33+1</f>
        <v>6</v>
      </c>
      <c r="B34" s="30" t="s">
        <v>73</v>
      </c>
      <c r="C34" s="72" t="s">
        <v>65</v>
      </c>
      <c r="D34" s="32" t="s">
        <v>74</v>
      </c>
      <c r="E34" s="32" t="s">
        <v>75</v>
      </c>
      <c r="F34" s="33" t="s">
        <v>76</v>
      </c>
      <c r="G34" s="73" t="s">
        <v>77</v>
      </c>
      <c r="H34" s="32">
        <v>1</v>
      </c>
      <c r="I34" s="32" t="s">
        <v>70</v>
      </c>
      <c r="J34" s="42" t="s">
        <v>25</v>
      </c>
      <c r="K34" s="42" t="s">
        <v>25</v>
      </c>
      <c r="L34" s="42"/>
      <c r="M34" s="44" t="s">
        <v>40</v>
      </c>
      <c r="N34" s="52"/>
      <c r="O34" s="52"/>
      <c r="P34" s="52">
        <v>1</v>
      </c>
      <c r="Q34" s="38"/>
      <c r="R34" s="38"/>
      <c r="S34" s="38"/>
    </row>
    <row r="35" spans="1:19" s="65" customFormat="1" ht="28.5" hidden="1" customHeight="1" x14ac:dyDescent="0.85">
      <c r="A35" s="29">
        <f>A34+1</f>
        <v>7</v>
      </c>
      <c r="B35" s="74" t="s">
        <v>78</v>
      </c>
      <c r="C35" s="75" t="s">
        <v>65</v>
      </c>
      <c r="D35" s="59" t="s">
        <v>74</v>
      </c>
      <c r="E35" s="59" t="s">
        <v>79</v>
      </c>
      <c r="F35" s="70" t="s">
        <v>68</v>
      </c>
      <c r="G35" s="76" t="s">
        <v>80</v>
      </c>
      <c r="H35" s="59">
        <v>1</v>
      </c>
      <c r="I35" s="59" t="s">
        <v>70</v>
      </c>
      <c r="J35" s="42" t="s">
        <v>25</v>
      </c>
      <c r="K35" s="42" t="s">
        <v>25</v>
      </c>
      <c r="L35" s="42"/>
      <c r="M35" s="44" t="s">
        <v>40</v>
      </c>
      <c r="N35" s="52"/>
      <c r="O35" s="52"/>
      <c r="P35" s="52">
        <v>1</v>
      </c>
      <c r="Q35" s="68"/>
      <c r="R35" s="68"/>
      <c r="S35" s="68"/>
    </row>
    <row r="36" spans="1:19" s="55" customFormat="1" ht="30" hidden="1" customHeight="1" x14ac:dyDescent="0.25">
      <c r="A36" s="29">
        <f>A35+1</f>
        <v>8</v>
      </c>
      <c r="B36" s="47" t="s">
        <v>81</v>
      </c>
      <c r="C36" s="41" t="s">
        <v>65</v>
      </c>
      <c r="D36" s="49" t="s">
        <v>66</v>
      </c>
      <c r="E36" s="50" t="s">
        <v>82</v>
      </c>
      <c r="F36" s="49" t="s">
        <v>83</v>
      </c>
      <c r="G36" s="77" t="s">
        <v>84</v>
      </c>
      <c r="H36" s="49">
        <v>1</v>
      </c>
      <c r="I36" s="49" t="s">
        <v>70</v>
      </c>
      <c r="J36" s="49" t="s">
        <v>25</v>
      </c>
      <c r="K36" s="32" t="s">
        <v>20</v>
      </c>
      <c r="L36" s="51">
        <v>46156</v>
      </c>
      <c r="M36" s="62" t="s">
        <v>44</v>
      </c>
      <c r="N36" s="56"/>
      <c r="O36" s="56"/>
      <c r="P36" s="57">
        <v>1</v>
      </c>
      <c r="Q36" s="48"/>
      <c r="R36" s="48"/>
      <c r="S36" s="48"/>
    </row>
    <row r="37" spans="1:19" s="39" customFormat="1" ht="30" hidden="1" customHeight="1" x14ac:dyDescent="1.05">
      <c r="A37" s="29">
        <v>5</v>
      </c>
      <c r="B37" s="58" t="s">
        <v>85</v>
      </c>
      <c r="C37" s="72" t="s">
        <v>65</v>
      </c>
      <c r="D37" s="32" t="s">
        <v>66</v>
      </c>
      <c r="E37" s="32" t="s">
        <v>82</v>
      </c>
      <c r="F37" s="33" t="s">
        <v>86</v>
      </c>
      <c r="G37" s="73" t="s">
        <v>87</v>
      </c>
      <c r="H37" s="32">
        <v>1</v>
      </c>
      <c r="I37" s="32" t="s">
        <v>70</v>
      </c>
      <c r="J37" s="32" t="s">
        <v>19</v>
      </c>
      <c r="K37" s="32" t="s">
        <v>20</v>
      </c>
      <c r="L37" s="32"/>
      <c r="M37" s="36" t="s">
        <v>21</v>
      </c>
      <c r="N37" s="37"/>
      <c r="O37" s="37"/>
      <c r="P37" s="37">
        <v>1</v>
      </c>
      <c r="Q37" s="46"/>
      <c r="R37" s="46"/>
      <c r="S37" s="46"/>
    </row>
    <row r="38" spans="1:19" s="55" customFormat="1" ht="30" hidden="1" customHeight="1" x14ac:dyDescent="1.05">
      <c r="A38" s="29">
        <f>A37+1</f>
        <v>6</v>
      </c>
      <c r="B38" s="78" t="s">
        <v>88</v>
      </c>
      <c r="C38" s="79" t="s">
        <v>65</v>
      </c>
      <c r="D38" s="60" t="s">
        <v>66</v>
      </c>
      <c r="E38" s="60" t="s">
        <v>82</v>
      </c>
      <c r="F38" s="60" t="s">
        <v>83</v>
      </c>
      <c r="G38" s="80" t="s">
        <v>89</v>
      </c>
      <c r="H38" s="60">
        <v>1</v>
      </c>
      <c r="I38" s="60" t="s">
        <v>70</v>
      </c>
      <c r="J38" s="60" t="s">
        <v>19</v>
      </c>
      <c r="K38" s="32" t="s">
        <v>20</v>
      </c>
      <c r="L38" s="63"/>
      <c r="M38" s="60" t="s">
        <v>41</v>
      </c>
      <c r="N38" s="64"/>
      <c r="O38" s="64"/>
      <c r="P38" s="64">
        <v>1</v>
      </c>
      <c r="Q38" s="38"/>
      <c r="R38" s="38"/>
      <c r="S38" s="38"/>
    </row>
    <row r="39" spans="1:19" s="65" customFormat="1" ht="28.5" hidden="1" customHeight="1" x14ac:dyDescent="0.85">
      <c r="A39" s="29">
        <f>A38+1</f>
        <v>7</v>
      </c>
      <c r="B39" s="47" t="s">
        <v>90</v>
      </c>
      <c r="C39" s="41" t="s">
        <v>91</v>
      </c>
      <c r="D39" s="49" t="s">
        <v>66</v>
      </c>
      <c r="E39" s="50" t="s">
        <v>92</v>
      </c>
      <c r="F39" s="49" t="s">
        <v>93</v>
      </c>
      <c r="G39" s="77" t="s">
        <v>94</v>
      </c>
      <c r="H39" s="49">
        <v>1</v>
      </c>
      <c r="I39" s="49" t="s">
        <v>70</v>
      </c>
      <c r="J39" s="49" t="s">
        <v>25</v>
      </c>
      <c r="K39" s="49" t="s">
        <v>25</v>
      </c>
      <c r="L39" s="51">
        <v>46163</v>
      </c>
      <c r="M39" s="62" t="s">
        <v>44</v>
      </c>
      <c r="N39" s="56"/>
      <c r="O39" s="56"/>
      <c r="P39" s="57">
        <v>1</v>
      </c>
      <c r="Q39" s="48"/>
      <c r="R39" s="48"/>
      <c r="S39" s="48"/>
    </row>
    <row r="40" spans="1:19" s="39" customFormat="1" ht="30" hidden="1" customHeight="1" x14ac:dyDescent="0.3">
      <c r="A40" s="29">
        <v>1</v>
      </c>
      <c r="B40" s="47" t="s">
        <v>95</v>
      </c>
      <c r="C40" s="81" t="s">
        <v>96</v>
      </c>
      <c r="D40" s="62" t="s">
        <v>66</v>
      </c>
      <c r="E40" s="62" t="s">
        <v>97</v>
      </c>
      <c r="F40" s="62" t="s">
        <v>98</v>
      </c>
      <c r="G40" s="77" t="s">
        <v>99</v>
      </c>
      <c r="H40" s="62">
        <v>1</v>
      </c>
      <c r="I40" s="62" t="s">
        <v>70</v>
      </c>
      <c r="J40" s="42" t="s">
        <v>25</v>
      </c>
      <c r="K40" s="42" t="s">
        <v>25</v>
      </c>
      <c r="L40" s="42"/>
      <c r="M40" s="44" t="s">
        <v>40</v>
      </c>
      <c r="N40" s="52"/>
      <c r="O40" s="52"/>
      <c r="P40" s="52">
        <v>1</v>
      </c>
      <c r="Q40" s="68"/>
      <c r="R40" s="68"/>
      <c r="S40" s="68"/>
    </row>
    <row r="41" spans="1:19" s="39" customFormat="1" ht="30" hidden="1" customHeight="1" x14ac:dyDescent="0.3">
      <c r="A41" s="29">
        <v>2</v>
      </c>
      <c r="B41" s="47" t="s">
        <v>100</v>
      </c>
      <c r="C41" s="81" t="s">
        <v>96</v>
      </c>
      <c r="D41" s="62" t="s">
        <v>66</v>
      </c>
      <c r="E41" s="62" t="s">
        <v>97</v>
      </c>
      <c r="F41" s="62" t="s">
        <v>98</v>
      </c>
      <c r="G41" s="77" t="s">
        <v>101</v>
      </c>
      <c r="H41" s="62">
        <v>1</v>
      </c>
      <c r="I41" s="62" t="s">
        <v>70</v>
      </c>
      <c r="J41" s="42" t="s">
        <v>102</v>
      </c>
      <c r="K41" s="42" t="s">
        <v>25</v>
      </c>
      <c r="L41" s="42"/>
      <c r="M41" s="44" t="s">
        <v>40</v>
      </c>
      <c r="N41" s="52"/>
      <c r="O41" s="52"/>
      <c r="P41" s="52">
        <v>1</v>
      </c>
      <c r="Q41" s="68"/>
      <c r="R41" s="68"/>
      <c r="S41" s="68"/>
    </row>
    <row r="42" spans="1:19" s="54" customFormat="1" ht="30" hidden="1" customHeight="1" x14ac:dyDescent="1.05">
      <c r="A42" s="29">
        <f>A41+1</f>
        <v>3</v>
      </c>
      <c r="B42" s="47" t="s">
        <v>103</v>
      </c>
      <c r="C42" s="82" t="s">
        <v>96</v>
      </c>
      <c r="D42" s="83" t="s">
        <v>66</v>
      </c>
      <c r="E42" s="49" t="s">
        <v>97</v>
      </c>
      <c r="F42" s="83" t="s">
        <v>98</v>
      </c>
      <c r="G42" s="77" t="s">
        <v>104</v>
      </c>
      <c r="H42" s="49">
        <v>1</v>
      </c>
      <c r="I42" s="49" t="s">
        <v>70</v>
      </c>
      <c r="J42" s="32" t="s">
        <v>105</v>
      </c>
      <c r="K42" s="32" t="s">
        <v>19</v>
      </c>
      <c r="L42" s="32"/>
      <c r="M42" s="44" t="s">
        <v>40</v>
      </c>
      <c r="N42" s="52"/>
      <c r="O42" s="52"/>
      <c r="P42" s="52">
        <v>1</v>
      </c>
      <c r="Q42" s="68"/>
      <c r="R42" s="68"/>
      <c r="S42" s="68"/>
    </row>
    <row r="43" spans="1:19" s="65" customFormat="1" ht="34.5" hidden="1" customHeight="1" x14ac:dyDescent="0.85">
      <c r="A43" s="29">
        <f>A42+1</f>
        <v>4</v>
      </c>
      <c r="B43" s="47" t="s">
        <v>106</v>
      </c>
      <c r="C43" s="81" t="s">
        <v>96</v>
      </c>
      <c r="D43" s="62" t="s">
        <v>66</v>
      </c>
      <c r="E43" s="62" t="s">
        <v>97</v>
      </c>
      <c r="F43" s="62" t="s">
        <v>98</v>
      </c>
      <c r="G43" s="77" t="s">
        <v>107</v>
      </c>
      <c r="H43" s="62">
        <v>1</v>
      </c>
      <c r="I43" s="62" t="s">
        <v>70</v>
      </c>
      <c r="J43" s="42" t="s">
        <v>25</v>
      </c>
      <c r="K43" s="42" t="s">
        <v>25</v>
      </c>
      <c r="L43" s="42"/>
      <c r="M43" s="44" t="s">
        <v>40</v>
      </c>
      <c r="N43" s="52"/>
      <c r="O43" s="52"/>
      <c r="P43" s="52">
        <v>1</v>
      </c>
      <c r="Q43" s="68"/>
      <c r="R43" s="68"/>
      <c r="S43" s="68"/>
    </row>
    <row r="44" spans="1:19" s="39" customFormat="1" ht="30" hidden="1" customHeight="1" x14ac:dyDescent="0.25">
      <c r="A44" s="29">
        <v>3</v>
      </c>
      <c r="B44" s="47" t="s">
        <v>108</v>
      </c>
      <c r="C44" s="41" t="s">
        <v>96</v>
      </c>
      <c r="D44" s="49" t="s">
        <v>66</v>
      </c>
      <c r="E44" s="50" t="s">
        <v>92</v>
      </c>
      <c r="F44" s="49" t="s">
        <v>93</v>
      </c>
      <c r="G44" s="77" t="s">
        <v>109</v>
      </c>
      <c r="H44" s="49">
        <v>1</v>
      </c>
      <c r="I44" s="49" t="s">
        <v>70</v>
      </c>
      <c r="J44" s="49" t="s">
        <v>25</v>
      </c>
      <c r="K44" s="49" t="s">
        <v>25</v>
      </c>
      <c r="L44" s="51">
        <v>46172</v>
      </c>
      <c r="M44" s="62" t="s">
        <v>44</v>
      </c>
      <c r="N44" s="56"/>
      <c r="O44" s="56"/>
      <c r="P44" s="57">
        <v>1</v>
      </c>
      <c r="Q44" s="48"/>
      <c r="R44" s="48"/>
      <c r="S44" s="48"/>
    </row>
    <row r="45" spans="1:19" s="54" customFormat="1" ht="30" hidden="1" customHeight="1" x14ac:dyDescent="1.05">
      <c r="A45" s="29">
        <f>A44+1</f>
        <v>4</v>
      </c>
      <c r="B45" s="47" t="s">
        <v>110</v>
      </c>
      <c r="C45" s="82" t="s">
        <v>96</v>
      </c>
      <c r="D45" s="83" t="s">
        <v>66</v>
      </c>
      <c r="E45" s="49" t="s">
        <v>92</v>
      </c>
      <c r="F45" s="83" t="s">
        <v>93</v>
      </c>
      <c r="G45" s="77" t="s">
        <v>111</v>
      </c>
      <c r="H45" s="49">
        <v>1</v>
      </c>
      <c r="I45" s="49" t="s">
        <v>70</v>
      </c>
      <c r="J45" s="32" t="s">
        <v>105</v>
      </c>
      <c r="K45" s="32" t="s">
        <v>20</v>
      </c>
      <c r="L45" s="32"/>
      <c r="M45" s="36" t="s">
        <v>21</v>
      </c>
      <c r="N45" s="37"/>
      <c r="O45" s="37"/>
      <c r="P45" s="37">
        <v>1</v>
      </c>
      <c r="Q45" s="46"/>
      <c r="R45" s="46"/>
      <c r="S45" s="46"/>
    </row>
    <row r="46" spans="1:19" s="55" customFormat="1" ht="30" hidden="1" customHeight="1" x14ac:dyDescent="0.25">
      <c r="A46" s="29">
        <v>7</v>
      </c>
      <c r="B46" s="58" t="s">
        <v>112</v>
      </c>
      <c r="C46" s="67" t="s">
        <v>113</v>
      </c>
      <c r="D46" s="42" t="s">
        <v>66</v>
      </c>
      <c r="E46" s="42" t="s">
        <v>114</v>
      </c>
      <c r="F46" s="36" t="s">
        <v>93</v>
      </c>
      <c r="G46" s="71" t="s">
        <v>115</v>
      </c>
      <c r="H46" s="42">
        <v>1</v>
      </c>
      <c r="I46" s="43" t="s">
        <v>70</v>
      </c>
      <c r="J46" s="42" t="s">
        <v>25</v>
      </c>
      <c r="K46" s="42" t="s">
        <v>25</v>
      </c>
      <c r="L46" s="42"/>
      <c r="M46" s="44" t="s">
        <v>40</v>
      </c>
      <c r="N46" s="52"/>
      <c r="O46" s="52"/>
      <c r="P46" s="52">
        <v>1</v>
      </c>
      <c r="Q46" s="68"/>
      <c r="R46" s="68"/>
      <c r="S46" s="68"/>
    </row>
    <row r="47" spans="1:19" s="55" customFormat="1" ht="30" hidden="1" customHeight="1" x14ac:dyDescent="0.25">
      <c r="A47" s="29">
        <f>A46+1</f>
        <v>8</v>
      </c>
      <c r="B47" s="58" t="s">
        <v>116</v>
      </c>
      <c r="C47" s="67" t="s">
        <v>113</v>
      </c>
      <c r="D47" s="42" t="s">
        <v>66</v>
      </c>
      <c r="E47" s="42" t="s">
        <v>114</v>
      </c>
      <c r="F47" s="36" t="s">
        <v>93</v>
      </c>
      <c r="G47" s="71" t="s">
        <v>117</v>
      </c>
      <c r="H47" s="42">
        <v>1</v>
      </c>
      <c r="I47" s="43" t="s">
        <v>70</v>
      </c>
      <c r="J47" s="42" t="s">
        <v>25</v>
      </c>
      <c r="K47" s="42" t="s">
        <v>25</v>
      </c>
      <c r="L47" s="42"/>
      <c r="M47" s="44" t="s">
        <v>40</v>
      </c>
      <c r="N47" s="52"/>
      <c r="O47" s="52"/>
      <c r="P47" s="52">
        <v>1</v>
      </c>
      <c r="Q47" s="68"/>
      <c r="R47" s="68"/>
      <c r="S47" s="68"/>
    </row>
    <row r="48" spans="1:19" s="39" customFormat="1" ht="30" hidden="1" customHeight="1" x14ac:dyDescent="0.3">
      <c r="A48" s="29">
        <f>A47+1</f>
        <v>9</v>
      </c>
      <c r="B48" s="58" t="s">
        <v>118</v>
      </c>
      <c r="C48" s="67" t="s">
        <v>113</v>
      </c>
      <c r="D48" s="42" t="s">
        <v>66</v>
      </c>
      <c r="E48" s="42" t="s">
        <v>114</v>
      </c>
      <c r="F48" s="36" t="s">
        <v>93</v>
      </c>
      <c r="G48" s="71" t="s">
        <v>119</v>
      </c>
      <c r="H48" s="42">
        <v>1</v>
      </c>
      <c r="I48" s="84"/>
      <c r="J48" s="42" t="s">
        <v>25</v>
      </c>
      <c r="K48" s="42" t="s">
        <v>25</v>
      </c>
      <c r="L48" s="42"/>
      <c r="M48" s="44" t="s">
        <v>40</v>
      </c>
      <c r="N48" s="52"/>
      <c r="O48" s="52"/>
      <c r="P48" s="52">
        <v>1</v>
      </c>
      <c r="Q48" s="68"/>
      <c r="R48" s="68"/>
      <c r="S48" s="68"/>
    </row>
    <row r="49" spans="1:19" s="55" customFormat="1" ht="30" hidden="1" customHeight="1" x14ac:dyDescent="0.25">
      <c r="A49" s="29">
        <f>A48+1</f>
        <v>10</v>
      </c>
      <c r="B49" s="58" t="s">
        <v>120</v>
      </c>
      <c r="C49" s="67" t="s">
        <v>113</v>
      </c>
      <c r="D49" s="42" t="s">
        <v>66</v>
      </c>
      <c r="E49" s="42" t="s">
        <v>114</v>
      </c>
      <c r="F49" s="36" t="s">
        <v>93</v>
      </c>
      <c r="G49" s="71" t="s">
        <v>121</v>
      </c>
      <c r="H49" s="42">
        <v>1</v>
      </c>
      <c r="I49" s="43" t="s">
        <v>70</v>
      </c>
      <c r="J49" s="42" t="s">
        <v>25</v>
      </c>
      <c r="K49" s="42" t="s">
        <v>25</v>
      </c>
      <c r="L49" s="42"/>
      <c r="M49" s="44" t="s">
        <v>40</v>
      </c>
      <c r="N49" s="52"/>
      <c r="O49" s="52"/>
      <c r="P49" s="52">
        <v>1</v>
      </c>
      <c r="Q49" s="68"/>
      <c r="R49" s="68"/>
      <c r="S49" s="68"/>
    </row>
    <row r="50" spans="1:19" s="55" customFormat="1" ht="30" hidden="1" customHeight="1" x14ac:dyDescent="0.25">
      <c r="A50" s="29">
        <v>8</v>
      </c>
      <c r="B50" s="47" t="s">
        <v>122</v>
      </c>
      <c r="C50" s="41" t="s">
        <v>113</v>
      </c>
      <c r="D50" s="49" t="s">
        <v>66</v>
      </c>
      <c r="E50" s="50" t="s">
        <v>114</v>
      </c>
      <c r="F50" s="36" t="s">
        <v>93</v>
      </c>
      <c r="G50" s="77" t="s">
        <v>123</v>
      </c>
      <c r="H50" s="49">
        <v>1</v>
      </c>
      <c r="I50" s="49" t="s">
        <v>70</v>
      </c>
      <c r="J50" s="49" t="s">
        <v>25</v>
      </c>
      <c r="K50" s="51">
        <v>46155</v>
      </c>
      <c r="L50" s="51"/>
      <c r="M50" s="62" t="s">
        <v>44</v>
      </c>
      <c r="N50" s="56"/>
      <c r="O50" s="56"/>
      <c r="P50" s="57">
        <v>1</v>
      </c>
      <c r="Q50" s="48"/>
      <c r="R50" s="48"/>
      <c r="S50" s="48"/>
    </row>
    <row r="51" spans="1:19" s="55" customFormat="1" ht="30" hidden="1" customHeight="1" x14ac:dyDescent="1.05">
      <c r="A51" s="29">
        <f>A50+1</f>
        <v>9</v>
      </c>
      <c r="B51" s="30" t="s">
        <v>124</v>
      </c>
      <c r="C51" s="31" t="s">
        <v>113</v>
      </c>
      <c r="D51" s="32" t="s">
        <v>66</v>
      </c>
      <c r="E51" s="32" t="s">
        <v>114</v>
      </c>
      <c r="F51" s="36" t="s">
        <v>93</v>
      </c>
      <c r="G51" s="73" t="s">
        <v>125</v>
      </c>
      <c r="H51" s="32">
        <v>1</v>
      </c>
      <c r="I51" s="32" t="s">
        <v>70</v>
      </c>
      <c r="J51" s="32" t="s">
        <v>19</v>
      </c>
      <c r="K51" s="32" t="s">
        <v>20</v>
      </c>
      <c r="L51" s="32"/>
      <c r="M51" s="36" t="s">
        <v>21</v>
      </c>
      <c r="N51" s="37"/>
      <c r="O51" s="37"/>
      <c r="P51" s="37">
        <v>1</v>
      </c>
      <c r="Q51" s="46"/>
      <c r="R51" s="46"/>
      <c r="S51" s="46"/>
    </row>
    <row r="52" spans="1:19" s="55" customFormat="1" ht="30" hidden="1" customHeight="1" x14ac:dyDescent="0.85">
      <c r="A52" s="29">
        <f>A51+1</f>
        <v>10</v>
      </c>
      <c r="B52" s="78" t="s">
        <v>126</v>
      </c>
      <c r="C52" s="66" t="s">
        <v>113</v>
      </c>
      <c r="D52" s="60" t="s">
        <v>66</v>
      </c>
      <c r="E52" s="60" t="s">
        <v>114</v>
      </c>
      <c r="F52" s="36" t="s">
        <v>93</v>
      </c>
      <c r="G52" s="80" t="s">
        <v>127</v>
      </c>
      <c r="H52" s="60">
        <v>1</v>
      </c>
      <c r="I52" s="60" t="s">
        <v>70</v>
      </c>
      <c r="J52" s="60" t="s">
        <v>25</v>
      </c>
      <c r="K52" s="63"/>
      <c r="L52" s="63"/>
      <c r="M52" s="60" t="s">
        <v>41</v>
      </c>
      <c r="N52" s="64"/>
      <c r="O52" s="64"/>
      <c r="P52" s="64">
        <v>1</v>
      </c>
      <c r="Q52" s="48"/>
      <c r="R52" s="48"/>
      <c r="S52" s="48"/>
    </row>
    <row r="53" spans="1:19" s="65" customFormat="1" ht="28.5" hidden="1" customHeight="1" x14ac:dyDescent="0.85">
      <c r="A53" s="29">
        <v>30</v>
      </c>
      <c r="B53" s="58" t="s">
        <v>128</v>
      </c>
      <c r="C53" s="41" t="s">
        <v>129</v>
      </c>
      <c r="D53" s="42"/>
      <c r="E53" s="42" t="s">
        <v>130</v>
      </c>
      <c r="F53" s="36" t="s">
        <v>131</v>
      </c>
      <c r="G53" s="42">
        <v>3807693</v>
      </c>
      <c r="H53" s="42">
        <v>1</v>
      </c>
      <c r="I53" s="43" t="s">
        <v>61</v>
      </c>
      <c r="J53" s="42" t="s">
        <v>25</v>
      </c>
      <c r="K53" s="42" t="s">
        <v>25</v>
      </c>
      <c r="L53" s="42"/>
      <c r="M53" s="44" t="s">
        <v>40</v>
      </c>
      <c r="N53" s="45"/>
      <c r="O53" s="45"/>
      <c r="P53" s="45">
        <v>1</v>
      </c>
      <c r="Q53" s="68"/>
      <c r="R53" s="68"/>
      <c r="S53" s="68"/>
    </row>
    <row r="54" spans="1:19" s="65" customFormat="1" ht="28.5" hidden="1" customHeight="1" x14ac:dyDescent="0.85">
      <c r="A54" s="29">
        <f>A53+1</f>
        <v>31</v>
      </c>
      <c r="B54" s="58" t="s">
        <v>132</v>
      </c>
      <c r="C54" s="41" t="s">
        <v>129</v>
      </c>
      <c r="D54" s="42"/>
      <c r="E54" s="42" t="s">
        <v>133</v>
      </c>
      <c r="F54" s="36" t="s">
        <v>131</v>
      </c>
      <c r="G54" s="42" t="s">
        <v>134</v>
      </c>
      <c r="H54" s="42">
        <v>1</v>
      </c>
      <c r="I54" s="43" t="s">
        <v>61</v>
      </c>
      <c r="J54" s="42" t="s">
        <v>25</v>
      </c>
      <c r="K54" s="42" t="s">
        <v>25</v>
      </c>
      <c r="L54" s="42"/>
      <c r="M54" s="44" t="s">
        <v>40</v>
      </c>
      <c r="N54" s="45"/>
      <c r="O54" s="45"/>
      <c r="P54" s="45">
        <v>1</v>
      </c>
      <c r="Q54" s="68"/>
      <c r="R54" s="68"/>
      <c r="S54" s="68"/>
    </row>
    <row r="55" spans="1:19" s="65" customFormat="1" ht="28.5" hidden="1" customHeight="1" x14ac:dyDescent="1.05">
      <c r="A55" s="29">
        <f>A54+1</f>
        <v>32</v>
      </c>
      <c r="B55" s="58" t="s">
        <v>135</v>
      </c>
      <c r="C55" s="41" t="s">
        <v>129</v>
      </c>
      <c r="D55" s="42" t="s">
        <v>136</v>
      </c>
      <c r="E55" s="42" t="s">
        <v>137</v>
      </c>
      <c r="F55" s="36" t="s">
        <v>138</v>
      </c>
      <c r="G55" s="42" t="s">
        <v>139</v>
      </c>
      <c r="H55" s="42">
        <v>1</v>
      </c>
      <c r="I55" s="43" t="s">
        <v>61</v>
      </c>
      <c r="J55" s="42" t="s">
        <v>25</v>
      </c>
      <c r="K55" s="42" t="s">
        <v>25</v>
      </c>
      <c r="L55" s="42"/>
      <c r="M55" s="44" t="s">
        <v>40</v>
      </c>
      <c r="N55" s="45"/>
      <c r="O55" s="45"/>
      <c r="P55" s="45">
        <v>1</v>
      </c>
      <c r="Q55" s="38"/>
      <c r="R55" s="38"/>
      <c r="S55" s="38"/>
    </row>
    <row r="56" spans="1:19" s="39" customFormat="1" ht="30" customHeight="1" x14ac:dyDescent="0.3">
      <c r="A56" s="40"/>
      <c r="B56" s="30">
        <v>9</v>
      </c>
      <c r="C56" s="41" t="s">
        <v>63</v>
      </c>
      <c r="D56" s="61"/>
      <c r="E56" s="61"/>
      <c r="F56" s="36" t="s">
        <v>28</v>
      </c>
      <c r="G56" s="42"/>
      <c r="H56" s="42">
        <v>1</v>
      </c>
      <c r="I56" s="43" t="s">
        <v>24</v>
      </c>
      <c r="J56" s="42" t="s">
        <v>25</v>
      </c>
      <c r="K56" s="42" t="s">
        <v>25</v>
      </c>
      <c r="L56" s="42"/>
      <c r="M56" s="44" t="s">
        <v>26</v>
      </c>
      <c r="N56" s="45"/>
      <c r="O56" s="45"/>
      <c r="P56" s="45">
        <v>1</v>
      </c>
      <c r="Q56" s="46"/>
      <c r="R56" s="46"/>
      <c r="S56" s="46"/>
    </row>
    <row r="57" spans="1:19" s="54" customFormat="1" ht="30" hidden="1" customHeight="1" x14ac:dyDescent="1.05">
      <c r="A57" s="29">
        <v>31</v>
      </c>
      <c r="B57" s="58" t="s">
        <v>140</v>
      </c>
      <c r="C57" s="41" t="s">
        <v>129</v>
      </c>
      <c r="D57" s="32" t="s">
        <v>141</v>
      </c>
      <c r="E57" s="32" t="s">
        <v>142</v>
      </c>
      <c r="F57" s="33"/>
      <c r="G57" s="32" t="s">
        <v>143</v>
      </c>
      <c r="H57" s="32">
        <v>1</v>
      </c>
      <c r="I57" s="32" t="s">
        <v>61</v>
      </c>
      <c r="J57" s="85" t="s">
        <v>19</v>
      </c>
      <c r="K57" s="32" t="s">
        <v>20</v>
      </c>
      <c r="L57" s="32"/>
      <c r="M57" s="36" t="s">
        <v>21</v>
      </c>
      <c r="N57" s="37"/>
      <c r="O57" s="37"/>
      <c r="P57" s="37">
        <v>1</v>
      </c>
      <c r="Q57" s="48"/>
      <c r="R57" s="48"/>
      <c r="S57" s="48"/>
    </row>
    <row r="58" spans="1:19" s="54" customFormat="1" ht="30" hidden="1" customHeight="1" x14ac:dyDescent="1.05">
      <c r="A58" s="29">
        <v>9</v>
      </c>
      <c r="B58" s="47"/>
      <c r="C58" s="67" t="s">
        <v>144</v>
      </c>
      <c r="D58" s="43" t="s">
        <v>74</v>
      </c>
      <c r="E58" s="43" t="s">
        <v>145</v>
      </c>
      <c r="F58" s="70"/>
      <c r="G58" s="86" t="s">
        <v>146</v>
      </c>
      <c r="H58" s="42">
        <v>1</v>
      </c>
      <c r="I58" s="43" t="s">
        <v>70</v>
      </c>
      <c r="J58" s="42" t="s">
        <v>147</v>
      </c>
      <c r="K58" s="51">
        <v>46170</v>
      </c>
      <c r="L58" s="51"/>
      <c r="M58" s="62" t="s">
        <v>44</v>
      </c>
      <c r="N58" s="56"/>
      <c r="O58" s="56"/>
      <c r="P58" s="57">
        <v>1</v>
      </c>
      <c r="Q58" s="46"/>
      <c r="R58" s="46"/>
      <c r="S58" s="46"/>
    </row>
    <row r="59" spans="1:19" s="54" customFormat="1" ht="30" hidden="1" customHeight="1" x14ac:dyDescent="1.05">
      <c r="A59" s="29">
        <f>A58+1</f>
        <v>10</v>
      </c>
      <c r="B59" s="58" t="s">
        <v>148</v>
      </c>
      <c r="C59" s="41" t="s">
        <v>149</v>
      </c>
      <c r="D59" s="43"/>
      <c r="E59" s="43"/>
      <c r="F59" s="70"/>
      <c r="G59" s="87"/>
      <c r="H59" s="42">
        <v>1</v>
      </c>
      <c r="I59" s="42" t="s">
        <v>61</v>
      </c>
      <c r="J59" s="42" t="s">
        <v>25</v>
      </c>
      <c r="K59" s="42"/>
      <c r="L59" s="88"/>
      <c r="M59" s="44" t="s">
        <v>40</v>
      </c>
      <c r="N59" s="45"/>
      <c r="O59" s="45"/>
      <c r="P59" s="45">
        <v>1</v>
      </c>
      <c r="Q59" s="68"/>
      <c r="R59" s="68"/>
      <c r="S59" s="68"/>
    </row>
    <row r="60" spans="1:19" s="55" customFormat="1" ht="30" hidden="1" customHeight="1" x14ac:dyDescent="0.85">
      <c r="A60" s="29">
        <f>A59+1</f>
        <v>11</v>
      </c>
      <c r="B60" s="58" t="s">
        <v>150</v>
      </c>
      <c r="C60" s="41" t="s">
        <v>149</v>
      </c>
      <c r="D60" s="43"/>
      <c r="E60" s="43"/>
      <c r="F60" s="70"/>
      <c r="G60" s="87"/>
      <c r="H60" s="42">
        <v>1</v>
      </c>
      <c r="I60" s="42" t="s">
        <v>61</v>
      </c>
      <c r="J60" s="42" t="s">
        <v>25</v>
      </c>
      <c r="K60" s="42"/>
      <c r="L60" s="63"/>
      <c r="M60" s="44" t="s">
        <v>40</v>
      </c>
      <c r="N60" s="64"/>
      <c r="O60" s="64"/>
      <c r="P60" s="64">
        <v>1</v>
      </c>
      <c r="Q60" s="48"/>
      <c r="R60" s="48"/>
      <c r="S60" s="48"/>
    </row>
    <row r="61" spans="1:19" s="39" customFormat="1" ht="30" customHeight="1" x14ac:dyDescent="0.3">
      <c r="A61" s="40"/>
      <c r="B61" s="30">
        <v>10</v>
      </c>
      <c r="C61" s="41" t="s">
        <v>151</v>
      </c>
      <c r="D61" s="42"/>
      <c r="E61" s="42"/>
      <c r="F61" s="36" t="s">
        <v>49</v>
      </c>
      <c r="G61" s="42"/>
      <c r="H61" s="42">
        <v>1</v>
      </c>
      <c r="I61" s="43" t="s">
        <v>24</v>
      </c>
      <c r="J61" s="42" t="s">
        <v>25</v>
      </c>
      <c r="K61" s="42" t="s">
        <v>25</v>
      </c>
      <c r="L61" s="42"/>
      <c r="M61" s="44" t="s">
        <v>26</v>
      </c>
      <c r="N61" s="45"/>
      <c r="O61" s="45"/>
      <c r="P61" s="45">
        <v>1</v>
      </c>
      <c r="Q61" s="46"/>
      <c r="R61" s="46"/>
      <c r="S61" s="46"/>
    </row>
    <row r="62" spans="1:19" s="54" customFormat="1" ht="30" customHeight="1" x14ac:dyDescent="1.05">
      <c r="A62" s="40"/>
      <c r="B62" s="30">
        <v>12</v>
      </c>
      <c r="C62" s="66" t="s">
        <v>152</v>
      </c>
      <c r="D62" s="49"/>
      <c r="E62" s="50"/>
      <c r="F62" s="49"/>
      <c r="G62" s="49"/>
      <c r="H62" s="49">
        <v>1</v>
      </c>
      <c r="I62" s="49" t="s">
        <v>153</v>
      </c>
      <c r="J62" s="49" t="s">
        <v>25</v>
      </c>
      <c r="K62" s="51"/>
      <c r="L62" s="61"/>
      <c r="M62" s="44" t="s">
        <v>26</v>
      </c>
      <c r="N62" s="45"/>
      <c r="O62" s="45"/>
      <c r="P62" s="45">
        <v>1</v>
      </c>
      <c r="Q62" s="46"/>
      <c r="R62" s="46"/>
      <c r="S62" s="46"/>
    </row>
    <row r="63" spans="1:19" s="39" customFormat="1" ht="30" customHeight="1" x14ac:dyDescent="0.3">
      <c r="A63" s="40"/>
      <c r="B63" s="30">
        <v>13</v>
      </c>
      <c r="C63" s="31" t="s">
        <v>154</v>
      </c>
      <c r="D63" s="59"/>
      <c r="E63" s="59"/>
      <c r="F63" s="59" t="s">
        <v>155</v>
      </c>
      <c r="G63" s="59"/>
      <c r="H63" s="49">
        <v>1</v>
      </c>
      <c r="I63" s="59" t="s">
        <v>57</v>
      </c>
      <c r="J63" s="42" t="s">
        <v>25</v>
      </c>
      <c r="K63" s="42" t="s">
        <v>25</v>
      </c>
      <c r="L63" s="61"/>
      <c r="M63" s="44" t="s">
        <v>26</v>
      </c>
      <c r="N63" s="45"/>
      <c r="O63" s="45"/>
      <c r="P63" s="45">
        <v>1</v>
      </c>
      <c r="Q63" s="46"/>
      <c r="R63" s="46"/>
      <c r="S63" s="46"/>
    </row>
    <row r="64" spans="1:19" s="39" customFormat="1" ht="30" customHeight="1" x14ac:dyDescent="0.3">
      <c r="A64" s="40"/>
      <c r="B64" s="30">
        <v>13.1</v>
      </c>
      <c r="C64" s="31" t="s">
        <v>156</v>
      </c>
      <c r="D64" s="59"/>
      <c r="E64" s="59"/>
      <c r="F64" s="59" t="s">
        <v>157</v>
      </c>
      <c r="G64" s="59"/>
      <c r="H64" s="49">
        <v>7</v>
      </c>
      <c r="I64" s="59" t="s">
        <v>18</v>
      </c>
      <c r="J64" s="42" t="s">
        <v>25</v>
      </c>
      <c r="K64" s="42" t="s">
        <v>25</v>
      </c>
      <c r="L64" s="42"/>
      <c r="M64" s="44" t="s">
        <v>26</v>
      </c>
      <c r="N64" s="45"/>
      <c r="O64" s="45"/>
      <c r="P64" s="45">
        <v>1</v>
      </c>
      <c r="Q64" s="46"/>
      <c r="R64" s="46"/>
      <c r="S64" s="46"/>
    </row>
    <row r="65" spans="1:19" s="39" customFormat="1" ht="30" hidden="1" customHeight="1" x14ac:dyDescent="1.05">
      <c r="A65" s="29">
        <f>A64+1</f>
        <v>1</v>
      </c>
      <c r="B65" s="47" t="s">
        <v>158</v>
      </c>
      <c r="C65" s="67" t="s">
        <v>149</v>
      </c>
      <c r="D65" s="49"/>
      <c r="E65" s="50"/>
      <c r="F65" s="49"/>
      <c r="G65" s="49"/>
      <c r="H65" s="49">
        <v>1</v>
      </c>
      <c r="I65" s="49" t="s">
        <v>61</v>
      </c>
      <c r="J65" s="49" t="s">
        <v>25</v>
      </c>
      <c r="K65" s="51">
        <v>46157</v>
      </c>
      <c r="L65" s="89"/>
      <c r="M65" s="62" t="s">
        <v>44</v>
      </c>
      <c r="N65" s="56"/>
      <c r="O65" s="56"/>
      <c r="P65" s="57">
        <v>1</v>
      </c>
      <c r="Q65" s="38"/>
      <c r="R65" s="38"/>
      <c r="S65" s="38"/>
    </row>
    <row r="66" spans="1:19" s="39" customFormat="1" ht="30" hidden="1" customHeight="1" x14ac:dyDescent="1.05">
      <c r="A66" s="29">
        <f>A65+1</f>
        <v>2</v>
      </c>
      <c r="B66" s="58" t="s">
        <v>159</v>
      </c>
      <c r="C66" s="41" t="s">
        <v>149</v>
      </c>
      <c r="D66" s="32"/>
      <c r="E66" s="32"/>
      <c r="F66" s="33"/>
      <c r="G66" s="33"/>
      <c r="H66" s="35">
        <v>1</v>
      </c>
      <c r="I66" s="35" t="s">
        <v>61</v>
      </c>
      <c r="J66" s="32" t="s">
        <v>19</v>
      </c>
      <c r="K66" s="32"/>
      <c r="L66" s="90"/>
      <c r="M66" s="36" t="s">
        <v>21</v>
      </c>
      <c r="N66" s="37"/>
      <c r="O66" s="37"/>
      <c r="P66" s="37">
        <v>1</v>
      </c>
      <c r="Q66" s="38"/>
      <c r="R66" s="38"/>
      <c r="S66" s="38"/>
    </row>
    <row r="67" spans="1:19" s="39" customFormat="1" ht="30" hidden="1" customHeight="1" x14ac:dyDescent="0.85">
      <c r="A67" s="29">
        <f>A66+1</f>
        <v>3</v>
      </c>
      <c r="B67" s="47" t="s">
        <v>160</v>
      </c>
      <c r="C67" s="67" t="s">
        <v>149</v>
      </c>
      <c r="D67" s="60"/>
      <c r="E67" s="60"/>
      <c r="F67" s="60"/>
      <c r="G67" s="60"/>
      <c r="H67" s="60">
        <v>1</v>
      </c>
      <c r="I67" s="60" t="s">
        <v>61</v>
      </c>
      <c r="J67" s="60" t="s">
        <v>25</v>
      </c>
      <c r="K67" s="63"/>
      <c r="L67" s="63"/>
      <c r="M67" s="60" t="s">
        <v>41</v>
      </c>
      <c r="N67" s="64"/>
      <c r="O67" s="64"/>
      <c r="P67" s="64">
        <v>1</v>
      </c>
      <c r="Q67" s="46"/>
      <c r="R67" s="46"/>
      <c r="S67" s="46"/>
    </row>
    <row r="68" spans="1:19" s="54" customFormat="1" ht="30" hidden="1" customHeight="1" x14ac:dyDescent="1.05">
      <c r="A68" s="29">
        <v>12</v>
      </c>
      <c r="B68" s="78" t="s">
        <v>161</v>
      </c>
      <c r="C68" s="66" t="s">
        <v>162</v>
      </c>
      <c r="D68" s="43" t="s">
        <v>163</v>
      </c>
      <c r="E68" s="43" t="s">
        <v>164</v>
      </c>
      <c r="F68" s="70"/>
      <c r="G68" s="87" t="s">
        <v>165</v>
      </c>
      <c r="H68" s="42">
        <v>1</v>
      </c>
      <c r="I68" s="43" t="s">
        <v>61</v>
      </c>
      <c r="J68" s="42" t="s">
        <v>166</v>
      </c>
      <c r="K68" s="42" t="s">
        <v>25</v>
      </c>
      <c r="L68" s="42"/>
      <c r="M68" s="44" t="s">
        <v>40</v>
      </c>
      <c r="N68" s="52"/>
      <c r="O68" s="52"/>
      <c r="P68" s="52">
        <v>1</v>
      </c>
      <c r="Q68" s="68"/>
      <c r="R68" s="68"/>
      <c r="S68" s="68"/>
    </row>
    <row r="69" spans="1:19" ht="30" customHeight="1" x14ac:dyDescent="0.85">
      <c r="A69" s="40"/>
      <c r="B69" s="30">
        <v>14</v>
      </c>
      <c r="C69" s="66" t="s">
        <v>162</v>
      </c>
      <c r="D69" s="43"/>
      <c r="E69" s="43"/>
      <c r="F69" s="43"/>
      <c r="G69" s="87"/>
      <c r="H69" s="42">
        <v>2</v>
      </c>
      <c r="I69" s="43" t="s">
        <v>24</v>
      </c>
      <c r="J69" s="42" t="s">
        <v>25</v>
      </c>
      <c r="K69" s="89"/>
      <c r="L69" s="51"/>
      <c r="M69" s="44" t="s">
        <v>26</v>
      </c>
      <c r="N69" s="45"/>
      <c r="O69" s="45"/>
      <c r="P69" s="45">
        <v>1</v>
      </c>
    </row>
    <row r="70" spans="1:19" ht="30" hidden="1" customHeight="1" x14ac:dyDescent="0.85">
      <c r="A70" s="29">
        <f>A69+1</f>
        <v>1</v>
      </c>
      <c r="B70" s="78"/>
      <c r="C70" s="66" t="s">
        <v>162</v>
      </c>
      <c r="D70" s="43"/>
      <c r="E70" s="43" t="s">
        <v>164</v>
      </c>
      <c r="F70" s="43" t="s">
        <v>167</v>
      </c>
      <c r="G70" s="87" t="s">
        <v>168</v>
      </c>
      <c r="H70" s="42">
        <v>1</v>
      </c>
      <c r="I70" s="43" t="s">
        <v>24</v>
      </c>
      <c r="J70" s="42" t="s">
        <v>25</v>
      </c>
      <c r="K70" s="89"/>
      <c r="L70" s="51">
        <v>46163</v>
      </c>
      <c r="M70" s="62" t="s">
        <v>44</v>
      </c>
      <c r="N70" s="56"/>
      <c r="O70" s="56"/>
      <c r="P70" s="57">
        <v>1</v>
      </c>
      <c r="Q70" s="48"/>
      <c r="R70" s="48"/>
      <c r="S70" s="48"/>
    </row>
    <row r="71" spans="1:19" ht="30" hidden="1" customHeight="1" x14ac:dyDescent="0.85">
      <c r="A71" s="29">
        <f>A70+1</f>
        <v>2</v>
      </c>
      <c r="B71" s="78" t="s">
        <v>169</v>
      </c>
      <c r="C71" s="66" t="s">
        <v>162</v>
      </c>
      <c r="D71" s="60" t="s">
        <v>163</v>
      </c>
      <c r="E71" s="60" t="s">
        <v>164</v>
      </c>
      <c r="F71" s="60"/>
      <c r="G71" s="80" t="s">
        <v>170</v>
      </c>
      <c r="H71" s="60">
        <v>1</v>
      </c>
      <c r="I71" s="60" t="s">
        <v>61</v>
      </c>
      <c r="J71" s="60" t="s">
        <v>166</v>
      </c>
      <c r="K71" s="63"/>
      <c r="L71" s="63"/>
      <c r="M71" s="60" t="s">
        <v>41</v>
      </c>
      <c r="N71" s="64"/>
      <c r="O71" s="64"/>
      <c r="P71" s="64">
        <v>1</v>
      </c>
    </row>
    <row r="72" spans="1:19" ht="30" hidden="1" customHeight="1" x14ac:dyDescent="0.3">
      <c r="A72" s="29" t="e">
        <f>#REF!+1</f>
        <v>#REF!</v>
      </c>
      <c r="B72" s="58"/>
      <c r="C72" s="41" t="s">
        <v>171</v>
      </c>
      <c r="D72" s="42"/>
      <c r="E72" s="42"/>
      <c r="F72" s="33" t="s">
        <v>28</v>
      </c>
      <c r="G72" s="42"/>
      <c r="H72" s="42">
        <v>1</v>
      </c>
      <c r="I72" s="43" t="s">
        <v>24</v>
      </c>
      <c r="J72" s="42" t="s">
        <v>25</v>
      </c>
      <c r="K72" s="42" t="s">
        <v>25</v>
      </c>
      <c r="L72" s="42"/>
      <c r="M72" s="44" t="s">
        <v>40</v>
      </c>
      <c r="N72" s="45"/>
      <c r="O72" s="45"/>
      <c r="P72" s="45">
        <v>1</v>
      </c>
    </row>
    <row r="73" spans="1:19" s="54" customFormat="1" ht="30" customHeight="1" x14ac:dyDescent="1.05">
      <c r="A73" s="40"/>
      <c r="B73" s="30">
        <v>14.1</v>
      </c>
      <c r="C73" s="66" t="s">
        <v>172</v>
      </c>
      <c r="D73" s="43"/>
      <c r="E73" s="43"/>
      <c r="F73" s="70"/>
      <c r="G73" s="87"/>
      <c r="H73" s="42">
        <v>2</v>
      </c>
      <c r="I73" s="43" t="s">
        <v>24</v>
      </c>
      <c r="J73" s="42"/>
      <c r="K73" s="51"/>
      <c r="L73" s="51"/>
      <c r="M73" s="44" t="s">
        <v>26</v>
      </c>
      <c r="N73" s="45"/>
      <c r="O73" s="45"/>
      <c r="P73" s="45">
        <v>1</v>
      </c>
      <c r="Q73" s="46"/>
      <c r="R73" s="46"/>
      <c r="S73" s="46"/>
    </row>
    <row r="74" spans="1:19" ht="30" customHeight="1" x14ac:dyDescent="0.85">
      <c r="A74" s="29"/>
      <c r="B74" s="30">
        <v>15</v>
      </c>
      <c r="C74" s="41" t="s">
        <v>62</v>
      </c>
      <c r="D74" s="60"/>
      <c r="E74" s="60"/>
      <c r="F74" s="36" t="s">
        <v>49</v>
      </c>
      <c r="G74" s="60"/>
      <c r="H74" s="42">
        <v>3</v>
      </c>
      <c r="I74" s="43" t="s">
        <v>24</v>
      </c>
      <c r="J74" s="42"/>
      <c r="K74" s="51"/>
      <c r="L74" s="51"/>
      <c r="M74" s="44" t="s">
        <v>26</v>
      </c>
      <c r="N74" s="64"/>
      <c r="O74" s="64"/>
      <c r="P74" s="64">
        <v>1</v>
      </c>
      <c r="Q74" s="53"/>
      <c r="R74" s="53"/>
      <c r="S74" s="53"/>
    </row>
    <row r="75" spans="1:19" s="54" customFormat="1" ht="30" hidden="1" customHeight="1" x14ac:dyDescent="1.05">
      <c r="A75" s="29">
        <f>A74+1</f>
        <v>1</v>
      </c>
      <c r="B75" s="47"/>
      <c r="C75" s="41" t="s">
        <v>22</v>
      </c>
      <c r="D75" s="49"/>
      <c r="E75" s="50"/>
      <c r="F75" s="60" t="s">
        <v>23</v>
      </c>
      <c r="G75" s="49"/>
      <c r="H75" s="49">
        <v>1</v>
      </c>
      <c r="I75" s="49" t="s">
        <v>24</v>
      </c>
      <c r="J75" s="49" t="s">
        <v>25</v>
      </c>
      <c r="K75" s="51">
        <v>46157</v>
      </c>
      <c r="L75" s="51"/>
      <c r="M75" s="62" t="s">
        <v>44</v>
      </c>
      <c r="N75" s="56"/>
      <c r="O75" s="56"/>
      <c r="P75" s="57">
        <v>1</v>
      </c>
      <c r="Q75" s="53"/>
      <c r="R75" s="53"/>
      <c r="S75" s="53"/>
    </row>
    <row r="76" spans="1:19" s="55" customFormat="1" ht="30" hidden="1" customHeight="1" x14ac:dyDescent="1.05">
      <c r="A76" s="29">
        <f>A75+1</f>
        <v>2</v>
      </c>
      <c r="B76" s="30"/>
      <c r="C76" s="31" t="s">
        <v>22</v>
      </c>
      <c r="D76" s="32"/>
      <c r="E76" s="32"/>
      <c r="F76" s="60" t="s">
        <v>23</v>
      </c>
      <c r="G76" s="33"/>
      <c r="H76" s="35">
        <v>1</v>
      </c>
      <c r="I76" s="35" t="s">
        <v>24</v>
      </c>
      <c r="J76" s="32" t="s">
        <v>19</v>
      </c>
      <c r="K76" s="32" t="s">
        <v>20</v>
      </c>
      <c r="L76" s="32"/>
      <c r="M76" s="36" t="s">
        <v>21</v>
      </c>
      <c r="N76" s="37"/>
      <c r="O76" s="37"/>
      <c r="P76" s="37">
        <v>1</v>
      </c>
      <c r="Q76" s="38"/>
      <c r="R76" s="38"/>
      <c r="S76" s="38"/>
    </row>
    <row r="77" spans="1:19" s="65" customFormat="1" ht="28.5" hidden="1" customHeight="1" x14ac:dyDescent="0.85">
      <c r="A77" s="29">
        <f>A76+1</f>
        <v>3</v>
      </c>
      <c r="B77" s="78"/>
      <c r="C77" s="66" t="s">
        <v>22</v>
      </c>
      <c r="D77" s="60"/>
      <c r="E77" s="60"/>
      <c r="F77" s="60" t="s">
        <v>23</v>
      </c>
      <c r="G77" s="60"/>
      <c r="H77" s="60">
        <v>1</v>
      </c>
      <c r="I77" s="60" t="s">
        <v>24</v>
      </c>
      <c r="J77" s="60" t="s">
        <v>25</v>
      </c>
      <c r="K77" s="63"/>
      <c r="L77" s="63"/>
      <c r="M77" s="60" t="s">
        <v>41</v>
      </c>
      <c r="N77" s="64"/>
      <c r="O77" s="64"/>
      <c r="P77" s="64">
        <v>1</v>
      </c>
      <c r="Q77" s="53"/>
      <c r="R77" s="53"/>
      <c r="S77" s="53"/>
    </row>
    <row r="78" spans="1:19" ht="30" customHeight="1" x14ac:dyDescent="0.85">
      <c r="A78" s="29"/>
      <c r="B78" s="30">
        <v>16</v>
      </c>
      <c r="C78" s="41" t="s">
        <v>63</v>
      </c>
      <c r="D78" s="60"/>
      <c r="E78" s="60"/>
      <c r="F78" s="36" t="s">
        <v>28</v>
      </c>
      <c r="G78" s="60"/>
      <c r="H78" s="42">
        <v>1</v>
      </c>
      <c r="I78" s="43" t="s">
        <v>24</v>
      </c>
      <c r="J78" s="42"/>
      <c r="K78" s="51"/>
      <c r="L78" s="51"/>
      <c r="M78" s="44" t="s">
        <v>26</v>
      </c>
      <c r="N78" s="64"/>
      <c r="O78" s="64"/>
      <c r="P78" s="64">
        <v>1</v>
      </c>
      <c r="Q78" s="53"/>
      <c r="R78" s="53"/>
      <c r="S78" s="53"/>
    </row>
    <row r="79" spans="1:19" ht="30" customHeight="1" x14ac:dyDescent="0.85">
      <c r="A79" s="29"/>
      <c r="B79" s="30">
        <v>17</v>
      </c>
      <c r="C79" s="41" t="s">
        <v>22</v>
      </c>
      <c r="D79" s="42"/>
      <c r="E79" s="42"/>
      <c r="F79" s="36" t="s">
        <v>23</v>
      </c>
      <c r="G79" s="42"/>
      <c r="H79" s="42">
        <v>1</v>
      </c>
      <c r="I79" s="43" t="s">
        <v>24</v>
      </c>
      <c r="J79" s="42" t="s">
        <v>25</v>
      </c>
      <c r="K79" s="42" t="s">
        <v>25</v>
      </c>
      <c r="L79" s="42"/>
      <c r="M79" s="44" t="s">
        <v>26</v>
      </c>
      <c r="N79" s="64"/>
      <c r="O79" s="64"/>
      <c r="P79" s="64">
        <v>1</v>
      </c>
      <c r="Q79" s="53"/>
      <c r="R79" s="53"/>
      <c r="S79" s="53"/>
    </row>
    <row r="80" spans="1:19" ht="30" hidden="1" customHeight="1" x14ac:dyDescent="0.85">
      <c r="A80" s="29">
        <f>A79+1</f>
        <v>1</v>
      </c>
      <c r="B80" s="30" t="s">
        <v>173</v>
      </c>
      <c r="C80" s="41" t="s">
        <v>62</v>
      </c>
      <c r="D80" s="49"/>
      <c r="E80" s="50"/>
      <c r="F80" s="33" t="s">
        <v>174</v>
      </c>
      <c r="G80" s="49"/>
      <c r="H80" s="49">
        <v>1</v>
      </c>
      <c r="I80" s="49" t="s">
        <v>24</v>
      </c>
      <c r="J80" s="49" t="s">
        <v>25</v>
      </c>
      <c r="K80" s="51"/>
      <c r="L80" s="51"/>
      <c r="M80" s="44" t="s">
        <v>33</v>
      </c>
      <c r="N80" s="64"/>
      <c r="O80" s="64"/>
      <c r="P80" s="64">
        <v>1</v>
      </c>
      <c r="Q80" s="53"/>
      <c r="R80" s="53"/>
      <c r="S80" s="53"/>
    </row>
    <row r="81" spans="1:19" ht="30" hidden="1" customHeight="1" x14ac:dyDescent="0.85">
      <c r="A81" s="29">
        <f>A80+1</f>
        <v>2</v>
      </c>
      <c r="B81" s="30" t="s">
        <v>160</v>
      </c>
      <c r="C81" s="41" t="s">
        <v>62</v>
      </c>
      <c r="D81" s="49"/>
      <c r="E81" s="50"/>
      <c r="F81" s="33" t="s">
        <v>174</v>
      </c>
      <c r="G81" s="49"/>
      <c r="H81" s="49">
        <v>2</v>
      </c>
      <c r="I81" s="49" t="s">
        <v>24</v>
      </c>
      <c r="J81" s="49" t="s">
        <v>25</v>
      </c>
      <c r="K81" s="51"/>
      <c r="L81" s="51"/>
      <c r="M81" s="44" t="s">
        <v>33</v>
      </c>
      <c r="N81" s="45"/>
      <c r="O81" s="45"/>
      <c r="P81" s="45">
        <v>1</v>
      </c>
      <c r="Q81" s="53"/>
      <c r="R81" s="53"/>
      <c r="S81" s="53"/>
    </row>
    <row r="82" spans="1:19" ht="30" hidden="1" customHeight="1" x14ac:dyDescent="0.3">
      <c r="A82" s="29">
        <f>A81+1</f>
        <v>3</v>
      </c>
      <c r="B82" s="58" t="s">
        <v>175</v>
      </c>
      <c r="C82" s="41" t="s">
        <v>63</v>
      </c>
      <c r="D82" s="42"/>
      <c r="E82" s="42"/>
      <c r="F82" s="36" t="s">
        <v>28</v>
      </c>
      <c r="G82" s="42"/>
      <c r="H82" s="42">
        <v>1</v>
      </c>
      <c r="I82" s="43" t="s">
        <v>24</v>
      </c>
      <c r="J82" s="42" t="s">
        <v>25</v>
      </c>
      <c r="K82" s="42" t="s">
        <v>25</v>
      </c>
      <c r="L82" s="42"/>
      <c r="M82" s="44" t="s">
        <v>40</v>
      </c>
      <c r="N82" s="45"/>
      <c r="O82" s="45"/>
      <c r="P82" s="45">
        <v>1</v>
      </c>
    </row>
    <row r="83" spans="1:19" ht="30" hidden="1" customHeight="1" x14ac:dyDescent="0.85">
      <c r="A83" s="29">
        <f>A82+1</f>
        <v>4</v>
      </c>
      <c r="B83" s="58" t="s">
        <v>176</v>
      </c>
      <c r="C83" s="41" t="s">
        <v>63</v>
      </c>
      <c r="D83" s="42"/>
      <c r="E83" s="42"/>
      <c r="F83" s="36" t="s">
        <v>28</v>
      </c>
      <c r="G83" s="42"/>
      <c r="H83" s="42">
        <v>1</v>
      </c>
      <c r="I83" s="43" t="s">
        <v>24</v>
      </c>
      <c r="J83" s="42" t="s">
        <v>25</v>
      </c>
      <c r="K83" s="42" t="s">
        <v>25</v>
      </c>
      <c r="L83" s="42"/>
      <c r="M83" s="44" t="s">
        <v>40</v>
      </c>
      <c r="N83" s="45"/>
      <c r="O83" s="45"/>
      <c r="P83" s="45">
        <v>1</v>
      </c>
      <c r="Q83" s="53"/>
      <c r="R83" s="53"/>
      <c r="S83" s="53"/>
    </row>
    <row r="84" spans="1:19" ht="30" hidden="1" customHeight="1" x14ac:dyDescent="1.05">
      <c r="A84" s="29" t="e">
        <f>#REF!+1</f>
        <v>#REF!</v>
      </c>
      <c r="B84" s="58" t="s">
        <v>160</v>
      </c>
      <c r="C84" s="41" t="s">
        <v>63</v>
      </c>
      <c r="D84" s="42"/>
      <c r="E84" s="42"/>
      <c r="F84" s="36" t="s">
        <v>28</v>
      </c>
      <c r="G84" s="42"/>
      <c r="H84" s="42">
        <v>1</v>
      </c>
      <c r="I84" s="43" t="s">
        <v>24</v>
      </c>
      <c r="J84" s="42" t="s">
        <v>25</v>
      </c>
      <c r="K84" s="42" t="s">
        <v>25</v>
      </c>
      <c r="L84" s="42"/>
      <c r="M84" s="44" t="s">
        <v>40</v>
      </c>
      <c r="N84" s="45"/>
      <c r="O84" s="45"/>
      <c r="P84" s="45">
        <v>1</v>
      </c>
      <c r="Q84" s="38"/>
      <c r="R84" s="38"/>
      <c r="S84" s="38"/>
    </row>
    <row r="85" spans="1:19" ht="30" hidden="1" customHeight="1" x14ac:dyDescent="0.3">
      <c r="A85" s="29" t="e">
        <f>A84+1</f>
        <v>#REF!</v>
      </c>
      <c r="B85" s="58" t="s">
        <v>177</v>
      </c>
      <c r="C85" s="41" t="s">
        <v>63</v>
      </c>
      <c r="D85" s="42"/>
      <c r="E85" s="42"/>
      <c r="F85" s="36" t="s">
        <v>28</v>
      </c>
      <c r="G85" s="42"/>
      <c r="H85" s="42">
        <v>1</v>
      </c>
      <c r="I85" s="43" t="s">
        <v>24</v>
      </c>
      <c r="J85" s="42" t="s">
        <v>25</v>
      </c>
      <c r="K85" s="42" t="s">
        <v>25</v>
      </c>
      <c r="L85" s="42"/>
      <c r="M85" s="44" t="s">
        <v>40</v>
      </c>
      <c r="N85" s="45"/>
      <c r="O85" s="45"/>
      <c r="P85" s="45">
        <v>1</v>
      </c>
    </row>
    <row r="86" spans="1:19" s="54" customFormat="1" ht="30" hidden="1" customHeight="1" x14ac:dyDescent="1.05">
      <c r="A86" s="29" t="e">
        <f>A85+1</f>
        <v>#REF!</v>
      </c>
      <c r="B86" s="58" t="s">
        <v>160</v>
      </c>
      <c r="C86" s="41" t="s">
        <v>63</v>
      </c>
      <c r="D86" s="42"/>
      <c r="E86" s="42"/>
      <c r="F86" s="36" t="s">
        <v>28</v>
      </c>
      <c r="G86" s="42"/>
      <c r="H86" s="42">
        <v>1</v>
      </c>
      <c r="I86" s="43" t="s">
        <v>24</v>
      </c>
      <c r="J86" s="42" t="s">
        <v>25</v>
      </c>
      <c r="K86" s="42" t="s">
        <v>25</v>
      </c>
      <c r="L86" s="42"/>
      <c r="M86" s="44" t="s">
        <v>40</v>
      </c>
      <c r="N86" s="45"/>
      <c r="O86" s="45"/>
      <c r="P86" s="45">
        <v>1</v>
      </c>
      <c r="Q86" s="46"/>
      <c r="R86" s="46"/>
      <c r="S86" s="46"/>
    </row>
    <row r="87" spans="1:19" s="54" customFormat="1" ht="30" customHeight="1" x14ac:dyDescent="1.05">
      <c r="A87" s="29"/>
      <c r="B87" s="30">
        <v>18</v>
      </c>
      <c r="C87" s="41" t="s">
        <v>31</v>
      </c>
      <c r="D87" s="49"/>
      <c r="E87" s="50"/>
      <c r="F87" s="49" t="s">
        <v>178</v>
      </c>
      <c r="G87" s="49"/>
      <c r="H87" s="49">
        <v>1</v>
      </c>
      <c r="I87" s="49" t="s">
        <v>18</v>
      </c>
      <c r="J87" s="49" t="s">
        <v>25</v>
      </c>
      <c r="K87" s="51"/>
      <c r="L87" s="63"/>
      <c r="M87" s="44" t="s">
        <v>26</v>
      </c>
      <c r="N87" s="64"/>
      <c r="O87" s="64"/>
      <c r="P87" s="64">
        <v>1</v>
      </c>
      <c r="Q87" s="53"/>
      <c r="R87" s="53"/>
      <c r="S87" s="53"/>
    </row>
    <row r="88" spans="1:19" s="54" customFormat="1" ht="30" customHeight="1" x14ac:dyDescent="1.05">
      <c r="A88" s="29"/>
      <c r="B88" s="30">
        <v>19</v>
      </c>
      <c r="C88" s="41" t="s">
        <v>31</v>
      </c>
      <c r="D88" s="49"/>
      <c r="E88" s="50"/>
      <c r="F88" s="49" t="s">
        <v>179</v>
      </c>
      <c r="G88" s="49"/>
      <c r="H88" s="49">
        <v>1</v>
      </c>
      <c r="I88" s="49" t="s">
        <v>18</v>
      </c>
      <c r="J88" s="49" t="s">
        <v>25</v>
      </c>
      <c r="K88" s="51"/>
      <c r="L88" s="63"/>
      <c r="M88" s="44" t="s">
        <v>26</v>
      </c>
      <c r="N88" s="64"/>
      <c r="O88" s="64"/>
      <c r="P88" s="64">
        <v>1</v>
      </c>
      <c r="Q88" s="53"/>
      <c r="R88" s="53"/>
      <c r="S88" s="53"/>
    </row>
    <row r="89" spans="1:19" s="54" customFormat="1" ht="30" customHeight="1" x14ac:dyDescent="1.05">
      <c r="A89" s="29"/>
      <c r="B89" s="30">
        <v>20</v>
      </c>
      <c r="C89" s="41" t="s">
        <v>180</v>
      </c>
      <c r="D89" s="49"/>
      <c r="E89" s="50"/>
      <c r="F89" s="49" t="s">
        <v>181</v>
      </c>
      <c r="G89" s="49"/>
      <c r="H89" s="49">
        <v>1</v>
      </c>
      <c r="I89" s="49" t="s">
        <v>18</v>
      </c>
      <c r="J89" s="49" t="s">
        <v>25</v>
      </c>
      <c r="K89" s="51"/>
      <c r="L89" s="63"/>
      <c r="M89" s="44" t="s">
        <v>26</v>
      </c>
      <c r="N89" s="64"/>
      <c r="O89" s="64"/>
      <c r="P89" s="64">
        <v>1</v>
      </c>
      <c r="Q89" s="53"/>
      <c r="R89" s="53"/>
      <c r="S89" s="53"/>
    </row>
    <row r="90" spans="1:19" s="54" customFormat="1" ht="30" customHeight="1" x14ac:dyDescent="1.05">
      <c r="A90" s="29"/>
      <c r="B90" s="30">
        <v>21</v>
      </c>
      <c r="C90" s="41" t="s">
        <v>31</v>
      </c>
      <c r="D90" s="49"/>
      <c r="E90" s="50"/>
      <c r="F90" s="49" t="s">
        <v>17</v>
      </c>
      <c r="G90" s="49"/>
      <c r="H90" s="49">
        <v>2</v>
      </c>
      <c r="I90" s="49" t="s">
        <v>18</v>
      </c>
      <c r="J90" s="49" t="s">
        <v>25</v>
      </c>
      <c r="K90" s="51"/>
      <c r="L90" s="63"/>
      <c r="M90" s="44" t="s">
        <v>26</v>
      </c>
      <c r="N90" s="64" t="s">
        <v>182</v>
      </c>
      <c r="O90" s="64"/>
      <c r="P90" s="64">
        <v>1</v>
      </c>
      <c r="Q90" s="53"/>
      <c r="R90" s="53"/>
      <c r="S90" s="53"/>
    </row>
    <row r="91" spans="1:19" s="54" customFormat="1" ht="30" customHeight="1" x14ac:dyDescent="1.05">
      <c r="A91" s="29">
        <f t="shared" ref="A91:A98" si="0">A90+1</f>
        <v>1</v>
      </c>
      <c r="B91" s="47" t="s">
        <v>183</v>
      </c>
      <c r="C91" s="41" t="s">
        <v>184</v>
      </c>
      <c r="D91" s="42"/>
      <c r="E91" s="42"/>
      <c r="F91" s="36"/>
      <c r="G91" s="42"/>
      <c r="H91" s="42">
        <v>1</v>
      </c>
      <c r="I91" s="43" t="s">
        <v>185</v>
      </c>
      <c r="J91" s="42" t="s">
        <v>25</v>
      </c>
      <c r="K91" s="42" t="s">
        <v>25</v>
      </c>
      <c r="L91" s="42"/>
      <c r="M91" s="60" t="s">
        <v>26</v>
      </c>
      <c r="N91" s="64"/>
      <c r="O91" s="64"/>
      <c r="P91" s="64">
        <v>1</v>
      </c>
      <c r="Q91" s="38"/>
      <c r="R91" s="38"/>
      <c r="S91" s="38"/>
    </row>
    <row r="92" spans="1:19" s="54" customFormat="1" ht="30" hidden="1" customHeight="1" x14ac:dyDescent="1.05">
      <c r="A92" s="29">
        <f t="shared" si="0"/>
        <v>2</v>
      </c>
      <c r="B92" s="58"/>
      <c r="C92" s="41" t="s">
        <v>186</v>
      </c>
      <c r="D92" s="49"/>
      <c r="E92" s="50"/>
      <c r="F92" s="33" t="s">
        <v>51</v>
      </c>
      <c r="G92" s="49"/>
      <c r="H92" s="49">
        <v>3</v>
      </c>
      <c r="I92" s="49" t="s">
        <v>24</v>
      </c>
      <c r="J92" s="49" t="s">
        <v>25</v>
      </c>
      <c r="K92" s="51">
        <v>46157</v>
      </c>
      <c r="L92" s="51"/>
      <c r="M92" s="62" t="s">
        <v>44</v>
      </c>
      <c r="N92" s="37"/>
      <c r="O92" s="37"/>
      <c r="P92" s="37">
        <v>1</v>
      </c>
      <c r="Q92" s="53"/>
      <c r="R92" s="53"/>
      <c r="S92" s="53"/>
    </row>
    <row r="93" spans="1:19" s="54" customFormat="1" ht="30" hidden="1" customHeight="1" x14ac:dyDescent="1.05">
      <c r="A93" s="29">
        <f t="shared" si="0"/>
        <v>3</v>
      </c>
      <c r="B93" s="47"/>
      <c r="C93" s="41" t="s">
        <v>186</v>
      </c>
      <c r="D93" s="49"/>
      <c r="E93" s="50"/>
      <c r="F93" s="33" t="s">
        <v>51</v>
      </c>
      <c r="G93" s="49"/>
      <c r="H93" s="49">
        <v>1</v>
      </c>
      <c r="I93" s="49" t="s">
        <v>24</v>
      </c>
      <c r="J93" s="49" t="s">
        <v>25</v>
      </c>
      <c r="K93" s="51">
        <v>46157</v>
      </c>
      <c r="L93" s="51"/>
      <c r="M93" s="62" t="s">
        <v>44</v>
      </c>
      <c r="N93" s="56"/>
      <c r="O93" s="56"/>
      <c r="P93" s="57">
        <v>1</v>
      </c>
      <c r="Q93" s="53"/>
      <c r="R93" s="53"/>
      <c r="S93" s="53"/>
    </row>
    <row r="94" spans="1:19" s="55" customFormat="1" ht="30" hidden="1" customHeight="1" x14ac:dyDescent="1.05">
      <c r="A94" s="29">
        <f t="shared" si="0"/>
        <v>4</v>
      </c>
      <c r="B94" s="58"/>
      <c r="C94" s="41" t="s">
        <v>186</v>
      </c>
      <c r="D94" s="32"/>
      <c r="E94" s="32"/>
      <c r="F94" s="33" t="s">
        <v>51</v>
      </c>
      <c r="G94" s="33"/>
      <c r="H94" s="35">
        <v>4</v>
      </c>
      <c r="I94" s="35" t="s">
        <v>24</v>
      </c>
      <c r="J94" s="32" t="s">
        <v>19</v>
      </c>
      <c r="K94" s="32" t="s">
        <v>20</v>
      </c>
      <c r="L94" s="32"/>
      <c r="M94" s="36" t="s">
        <v>21</v>
      </c>
      <c r="N94" s="37"/>
      <c r="O94" s="37"/>
      <c r="P94" s="37">
        <v>1</v>
      </c>
      <c r="Q94" s="46"/>
      <c r="R94" s="46"/>
      <c r="S94" s="46"/>
    </row>
    <row r="95" spans="1:19" s="55" customFormat="1" ht="30" hidden="1" customHeight="1" x14ac:dyDescent="0.85">
      <c r="A95" s="29">
        <f t="shared" si="0"/>
        <v>5</v>
      </c>
      <c r="B95" s="58"/>
      <c r="C95" s="41" t="s">
        <v>186</v>
      </c>
      <c r="D95" s="60"/>
      <c r="E95" s="60"/>
      <c r="F95" s="60" t="s">
        <v>23</v>
      </c>
      <c r="G95" s="60"/>
      <c r="H95" s="60">
        <v>3</v>
      </c>
      <c r="I95" s="60" t="s">
        <v>24</v>
      </c>
      <c r="J95" s="60" t="s">
        <v>25</v>
      </c>
      <c r="K95" s="63"/>
      <c r="L95" s="63"/>
      <c r="M95" s="60" t="s">
        <v>41</v>
      </c>
      <c r="N95" s="64"/>
      <c r="O95" s="64"/>
      <c r="P95" s="64">
        <v>1</v>
      </c>
      <c r="Q95" s="53"/>
      <c r="R95" s="53"/>
      <c r="S95" s="53"/>
    </row>
    <row r="96" spans="1:19" s="55" customFormat="1" ht="30" customHeight="1" x14ac:dyDescent="1.05">
      <c r="A96" s="29">
        <f t="shared" si="0"/>
        <v>6</v>
      </c>
      <c r="B96" s="47" t="s">
        <v>187</v>
      </c>
      <c r="C96" s="41" t="s">
        <v>184</v>
      </c>
      <c r="D96" s="42"/>
      <c r="E96" s="42"/>
      <c r="F96" s="36"/>
      <c r="G96" s="42"/>
      <c r="H96" s="42">
        <v>1</v>
      </c>
      <c r="I96" s="43" t="s">
        <v>185</v>
      </c>
      <c r="J96" s="42" t="s">
        <v>25</v>
      </c>
      <c r="K96" s="42" t="s">
        <v>25</v>
      </c>
      <c r="L96" s="42"/>
      <c r="M96" s="60" t="s">
        <v>26</v>
      </c>
      <c r="N96" s="64"/>
      <c r="O96" s="64"/>
      <c r="P96" s="64">
        <v>1</v>
      </c>
      <c r="Q96" s="38"/>
      <c r="R96" s="38"/>
      <c r="S96" s="38"/>
    </row>
    <row r="97" spans="1:19" s="55" customFormat="1" ht="30" hidden="1" customHeight="1" x14ac:dyDescent="0.85">
      <c r="A97" s="29">
        <f t="shared" si="0"/>
        <v>7</v>
      </c>
      <c r="B97" s="78"/>
      <c r="C97" s="66" t="s">
        <v>172</v>
      </c>
      <c r="D97" s="43"/>
      <c r="E97" s="43" t="s">
        <v>188</v>
      </c>
      <c r="F97" s="70" t="s">
        <v>189</v>
      </c>
      <c r="G97" s="87" t="s">
        <v>190</v>
      </c>
      <c r="H97" s="42">
        <v>1</v>
      </c>
      <c r="I97" s="43" t="s">
        <v>24</v>
      </c>
      <c r="J97" s="42"/>
      <c r="K97" s="51"/>
      <c r="L97" s="51">
        <v>46163</v>
      </c>
      <c r="M97" s="62" t="s">
        <v>44</v>
      </c>
      <c r="N97" s="56"/>
      <c r="O97" s="56"/>
      <c r="P97" s="57">
        <v>1</v>
      </c>
      <c r="Q97" s="48"/>
      <c r="R97" s="48"/>
      <c r="S97" s="48"/>
    </row>
    <row r="98" spans="1:19" s="55" customFormat="1" ht="30" hidden="1" customHeight="1" x14ac:dyDescent="0.85">
      <c r="A98" s="29">
        <f t="shared" si="0"/>
        <v>8</v>
      </c>
      <c r="B98" s="78" t="s">
        <v>191</v>
      </c>
      <c r="C98" s="66" t="s">
        <v>172</v>
      </c>
      <c r="D98" s="60" t="s">
        <v>163</v>
      </c>
      <c r="E98" s="60" t="s">
        <v>192</v>
      </c>
      <c r="F98" s="60"/>
      <c r="G98" s="80" t="s">
        <v>170</v>
      </c>
      <c r="H98" s="60">
        <v>1</v>
      </c>
      <c r="I98" s="60" t="s">
        <v>24</v>
      </c>
      <c r="J98" s="60" t="s">
        <v>166</v>
      </c>
      <c r="K98" s="63"/>
      <c r="L98" s="63"/>
      <c r="M98" s="60" t="s">
        <v>41</v>
      </c>
      <c r="N98" s="64"/>
      <c r="O98" s="64"/>
      <c r="P98" s="64">
        <v>1</v>
      </c>
      <c r="Q98" s="53"/>
      <c r="R98" s="53"/>
      <c r="S98" s="53"/>
    </row>
    <row r="99" spans="1:19" s="55" customFormat="1" ht="30" hidden="1" customHeight="1" x14ac:dyDescent="0.25">
      <c r="A99" s="29">
        <v>11</v>
      </c>
      <c r="B99" s="91" t="s">
        <v>193</v>
      </c>
      <c r="C99" s="67" t="s">
        <v>194</v>
      </c>
      <c r="D99" s="43" t="s">
        <v>195</v>
      </c>
      <c r="E99" s="43" t="s">
        <v>192</v>
      </c>
      <c r="F99" s="70"/>
      <c r="G99" s="87" t="s">
        <v>196</v>
      </c>
      <c r="H99" s="42">
        <v>1</v>
      </c>
      <c r="I99" s="43" t="s">
        <v>24</v>
      </c>
      <c r="J99" s="42" t="s">
        <v>197</v>
      </c>
      <c r="K99" s="42" t="s">
        <v>25</v>
      </c>
      <c r="L99" s="42"/>
      <c r="M99" s="44" t="s">
        <v>40</v>
      </c>
      <c r="N99" s="52"/>
      <c r="O99" s="52"/>
      <c r="P99" s="52">
        <v>1</v>
      </c>
      <c r="Q99" s="68"/>
      <c r="R99" s="68"/>
      <c r="S99" s="68"/>
    </row>
    <row r="100" spans="1:19" s="55" customFormat="1" ht="30" hidden="1" customHeight="1" x14ac:dyDescent="1.05">
      <c r="A100" s="29">
        <f>A99+1</f>
        <v>12</v>
      </c>
      <c r="B100" s="30"/>
      <c r="C100" s="31" t="s">
        <v>198</v>
      </c>
      <c r="D100" s="60"/>
      <c r="E100" s="60"/>
      <c r="F100" s="60"/>
      <c r="G100" s="60"/>
      <c r="H100" s="60">
        <v>1</v>
      </c>
      <c r="I100" s="60" t="s">
        <v>24</v>
      </c>
      <c r="J100" s="60" t="s">
        <v>25</v>
      </c>
      <c r="K100" s="63"/>
      <c r="L100" s="63"/>
      <c r="M100" s="60" t="s">
        <v>41</v>
      </c>
      <c r="N100" s="45"/>
      <c r="O100" s="45"/>
      <c r="P100" s="45">
        <v>1</v>
      </c>
      <c r="Q100" s="38"/>
      <c r="R100" s="38"/>
      <c r="S100" s="38"/>
    </row>
    <row r="101" spans="1:19" s="55" customFormat="1" ht="30" hidden="1" customHeight="1" x14ac:dyDescent="0.25">
      <c r="A101" s="29">
        <f>A100+1</f>
        <v>13</v>
      </c>
      <c r="B101" s="30"/>
      <c r="C101" s="31" t="s">
        <v>199</v>
      </c>
      <c r="D101" s="59"/>
      <c r="E101" s="59"/>
      <c r="F101" s="92" t="s">
        <v>200</v>
      </c>
      <c r="G101" s="59"/>
      <c r="H101" s="59">
        <v>1</v>
      </c>
      <c r="I101" s="59" t="s">
        <v>201</v>
      </c>
      <c r="J101" s="42" t="s">
        <v>25</v>
      </c>
      <c r="K101" s="42" t="s">
        <v>25</v>
      </c>
      <c r="L101" s="42"/>
      <c r="M101" s="44" t="s">
        <v>40</v>
      </c>
      <c r="N101" s="56"/>
      <c r="O101" s="56"/>
      <c r="P101" s="57">
        <v>1</v>
      </c>
      <c r="Q101" s="68"/>
      <c r="R101" s="68"/>
      <c r="S101" s="68"/>
    </row>
    <row r="102" spans="1:19" s="55" customFormat="1" ht="30" hidden="1" customHeight="1" x14ac:dyDescent="0.25">
      <c r="A102" s="29"/>
      <c r="B102" s="30"/>
      <c r="C102" s="31" t="s">
        <v>199</v>
      </c>
      <c r="D102" s="59"/>
      <c r="E102" s="59"/>
      <c r="F102" s="59" t="s">
        <v>155</v>
      </c>
      <c r="G102" s="59"/>
      <c r="H102" s="59">
        <v>1</v>
      </c>
      <c r="I102" s="59" t="s">
        <v>201</v>
      </c>
      <c r="J102" s="42" t="s">
        <v>25</v>
      </c>
      <c r="K102" s="42" t="s">
        <v>25</v>
      </c>
      <c r="L102" s="42"/>
      <c r="M102" s="44" t="s">
        <v>40</v>
      </c>
      <c r="N102" s="52"/>
      <c r="O102" s="52"/>
      <c r="P102" s="52">
        <v>1</v>
      </c>
      <c r="Q102" s="68"/>
      <c r="R102" s="68"/>
      <c r="S102" s="68"/>
    </row>
    <row r="103" spans="1:19" s="55" customFormat="1" ht="30" hidden="1" customHeight="1" x14ac:dyDescent="0.25">
      <c r="A103" s="29"/>
      <c r="B103" s="30"/>
      <c r="C103" s="31" t="s">
        <v>199</v>
      </c>
      <c r="D103" s="59"/>
      <c r="E103" s="59"/>
      <c r="F103" s="59" t="s">
        <v>155</v>
      </c>
      <c r="G103" s="59"/>
      <c r="H103" s="59">
        <v>1</v>
      </c>
      <c r="I103" s="59" t="s">
        <v>201</v>
      </c>
      <c r="J103" s="42" t="s">
        <v>25</v>
      </c>
      <c r="K103" s="42" t="s">
        <v>25</v>
      </c>
      <c r="L103" s="42"/>
      <c r="M103" s="44" t="s">
        <v>40</v>
      </c>
      <c r="N103" s="52"/>
      <c r="O103" s="52"/>
      <c r="P103" s="52">
        <v>1</v>
      </c>
      <c r="Q103" s="68"/>
      <c r="R103" s="68"/>
      <c r="S103" s="68"/>
    </row>
    <row r="104" spans="1:19" ht="30" hidden="1" customHeight="1" x14ac:dyDescent="1.05">
      <c r="A104" s="29">
        <f>A101+1</f>
        <v>14</v>
      </c>
      <c r="B104" s="30"/>
      <c r="C104" s="31" t="s">
        <v>199</v>
      </c>
      <c r="D104" s="59"/>
      <c r="E104" s="59"/>
      <c r="F104" s="59" t="s">
        <v>155</v>
      </c>
      <c r="G104" s="59"/>
      <c r="H104" s="59">
        <v>2</v>
      </c>
      <c r="I104" s="59" t="s">
        <v>201</v>
      </c>
      <c r="J104" s="42" t="s">
        <v>25</v>
      </c>
      <c r="K104" s="42" t="s">
        <v>25</v>
      </c>
      <c r="L104" s="42"/>
      <c r="M104" s="44" t="s">
        <v>33</v>
      </c>
      <c r="N104" s="37"/>
      <c r="O104" s="37"/>
      <c r="P104" s="37">
        <v>1</v>
      </c>
      <c r="Q104" s="48"/>
      <c r="R104" s="48"/>
      <c r="S104" s="48"/>
    </row>
    <row r="105" spans="1:19" s="54" customFormat="1" ht="30" hidden="1" customHeight="1" x14ac:dyDescent="1.05">
      <c r="A105" s="29">
        <f>A104+1</f>
        <v>15</v>
      </c>
      <c r="B105" s="30"/>
      <c r="C105" s="31" t="s">
        <v>199</v>
      </c>
      <c r="D105" s="49"/>
      <c r="E105" s="50"/>
      <c r="F105" s="59" t="s">
        <v>155</v>
      </c>
      <c r="G105" s="49"/>
      <c r="H105" s="49">
        <v>1</v>
      </c>
      <c r="I105" s="49" t="s">
        <v>201</v>
      </c>
      <c r="J105" s="49" t="s">
        <v>25</v>
      </c>
      <c r="K105" s="51">
        <v>46157</v>
      </c>
      <c r="L105" s="51"/>
      <c r="M105" s="62" t="s">
        <v>44</v>
      </c>
      <c r="N105" s="45"/>
      <c r="O105" s="45"/>
      <c r="P105" s="45">
        <v>1</v>
      </c>
      <c r="Q105" s="53"/>
      <c r="R105" s="53"/>
      <c r="S105" s="53"/>
    </row>
    <row r="106" spans="1:19" s="55" customFormat="1" ht="30" hidden="1" customHeight="1" x14ac:dyDescent="0.25">
      <c r="A106" s="29">
        <f>A105+1</f>
        <v>16</v>
      </c>
      <c r="B106" s="30"/>
      <c r="C106" s="31" t="s">
        <v>199</v>
      </c>
      <c r="D106" s="32"/>
      <c r="E106" s="32"/>
      <c r="F106" s="59" t="s">
        <v>202</v>
      </c>
      <c r="G106" s="33"/>
      <c r="H106" s="35">
        <v>2</v>
      </c>
      <c r="I106" s="35" t="s">
        <v>201</v>
      </c>
      <c r="J106" s="32" t="s">
        <v>19</v>
      </c>
      <c r="K106" s="32" t="s">
        <v>20</v>
      </c>
      <c r="L106" s="32"/>
      <c r="M106" s="36" t="s">
        <v>21</v>
      </c>
      <c r="N106" s="45"/>
      <c r="O106" s="45"/>
      <c r="P106" s="45">
        <v>1</v>
      </c>
      <c r="Q106" s="46"/>
      <c r="R106" s="46"/>
      <c r="S106" s="46"/>
    </row>
    <row r="107" spans="1:19" s="55" customFormat="1" ht="30" hidden="1" customHeight="1" x14ac:dyDescent="1.05">
      <c r="A107" s="29">
        <f>A106+1</f>
        <v>17</v>
      </c>
      <c r="B107" s="30"/>
      <c r="C107" s="31" t="s">
        <v>199</v>
      </c>
      <c r="D107" s="32"/>
      <c r="E107" s="32"/>
      <c r="F107" s="59" t="s">
        <v>155</v>
      </c>
      <c r="G107" s="33"/>
      <c r="H107" s="35">
        <v>2</v>
      </c>
      <c r="I107" s="35" t="s">
        <v>201</v>
      </c>
      <c r="J107" s="32" t="s">
        <v>19</v>
      </c>
      <c r="K107" s="32" t="s">
        <v>20</v>
      </c>
      <c r="L107" s="32"/>
      <c r="M107" s="36" t="s">
        <v>21</v>
      </c>
      <c r="N107" s="37"/>
      <c r="O107" s="37"/>
      <c r="P107" s="37">
        <v>1</v>
      </c>
      <c r="Q107" s="46"/>
      <c r="R107" s="46"/>
      <c r="S107" s="46"/>
    </row>
    <row r="108" spans="1:19" s="55" customFormat="1" ht="30" hidden="1" customHeight="1" x14ac:dyDescent="1.05">
      <c r="A108" s="29">
        <f>A107+1</f>
        <v>18</v>
      </c>
      <c r="B108" s="30"/>
      <c r="C108" s="31" t="s">
        <v>203</v>
      </c>
      <c r="D108" s="49"/>
      <c r="E108" s="50"/>
      <c r="F108" s="59" t="s">
        <v>155</v>
      </c>
      <c r="G108" s="49"/>
      <c r="H108" s="49">
        <v>1</v>
      </c>
      <c r="I108" s="49" t="s">
        <v>201</v>
      </c>
      <c r="J108" s="49" t="s">
        <v>25</v>
      </c>
      <c r="K108" s="51">
        <v>46169</v>
      </c>
      <c r="L108" s="51"/>
      <c r="M108" s="62" t="s">
        <v>44</v>
      </c>
      <c r="N108" s="45"/>
      <c r="O108" s="45"/>
      <c r="P108" s="45">
        <v>1</v>
      </c>
      <c r="Q108" s="38"/>
      <c r="R108" s="38"/>
      <c r="S108" s="38"/>
    </row>
    <row r="109" spans="1:19" s="65" customFormat="1" ht="28.5" hidden="1" customHeight="1" x14ac:dyDescent="1.05">
      <c r="A109" s="29">
        <f>A108+1</f>
        <v>19</v>
      </c>
      <c r="B109" s="49"/>
      <c r="C109" s="93" t="s">
        <v>204</v>
      </c>
      <c r="D109" s="43"/>
      <c r="E109" s="43"/>
      <c r="F109" s="43"/>
      <c r="G109" s="87"/>
      <c r="H109" s="42">
        <v>1</v>
      </c>
      <c r="I109" s="43" t="s">
        <v>205</v>
      </c>
      <c r="J109" s="42" t="s">
        <v>25</v>
      </c>
      <c r="K109" s="51"/>
      <c r="L109" s="51"/>
      <c r="M109" s="62" t="s">
        <v>44</v>
      </c>
      <c r="N109" s="56"/>
      <c r="O109" s="56"/>
      <c r="P109" s="57"/>
      <c r="Q109" s="38"/>
      <c r="R109" s="38"/>
      <c r="S109" s="38"/>
    </row>
    <row r="110" spans="1:19" ht="30" hidden="1" customHeight="1" x14ac:dyDescent="0.25">
      <c r="A110" s="29">
        <v>10</v>
      </c>
      <c r="B110" s="42"/>
      <c r="C110" s="93" t="s">
        <v>206</v>
      </c>
      <c r="D110" s="43"/>
      <c r="E110" s="43" t="s">
        <v>207</v>
      </c>
      <c r="F110" s="70"/>
      <c r="G110" s="87" t="s">
        <v>208</v>
      </c>
      <c r="H110" s="42">
        <v>1</v>
      </c>
      <c r="I110" s="42" t="s">
        <v>205</v>
      </c>
      <c r="J110" s="42" t="s">
        <v>209</v>
      </c>
      <c r="K110" s="42" t="s">
        <v>209</v>
      </c>
      <c r="L110" s="42"/>
      <c r="M110" s="44" t="s">
        <v>40</v>
      </c>
      <c r="N110" s="45"/>
      <c r="O110" s="45"/>
      <c r="P110" s="45"/>
      <c r="Q110" s="48"/>
      <c r="R110" s="48"/>
      <c r="S110" s="48"/>
    </row>
    <row r="111" spans="1:19" ht="30" hidden="1" customHeight="1" x14ac:dyDescent="1.05">
      <c r="A111" s="29">
        <f>A110+1</f>
        <v>11</v>
      </c>
      <c r="B111" s="42"/>
      <c r="C111" s="93" t="s">
        <v>206</v>
      </c>
      <c r="D111" s="43"/>
      <c r="E111" s="43"/>
      <c r="F111" s="70"/>
      <c r="G111" s="87"/>
      <c r="H111" s="42">
        <v>3</v>
      </c>
      <c r="I111" s="42" t="s">
        <v>205</v>
      </c>
      <c r="J111" s="42" t="s">
        <v>25</v>
      </c>
      <c r="K111" s="42" t="s">
        <v>25</v>
      </c>
      <c r="L111" s="42"/>
      <c r="M111" s="44" t="s">
        <v>40</v>
      </c>
      <c r="N111" s="45"/>
      <c r="O111" s="45"/>
      <c r="P111" s="45"/>
      <c r="Q111" s="38"/>
      <c r="R111" s="38"/>
      <c r="S111" s="38"/>
    </row>
    <row r="112" spans="1:19" ht="30" hidden="1" customHeight="1" x14ac:dyDescent="0.85">
      <c r="A112" s="29">
        <f>A111+1</f>
        <v>12</v>
      </c>
      <c r="B112" s="42"/>
      <c r="C112" s="93" t="s">
        <v>210</v>
      </c>
      <c r="D112" s="43"/>
      <c r="E112" s="43"/>
      <c r="F112" s="70"/>
      <c r="G112" s="87"/>
      <c r="H112" s="42">
        <v>1</v>
      </c>
      <c r="I112" s="42" t="s">
        <v>205</v>
      </c>
      <c r="J112" s="42" t="s">
        <v>25</v>
      </c>
      <c r="K112" s="42" t="s">
        <v>25</v>
      </c>
      <c r="L112" s="42"/>
      <c r="M112" s="44" t="s">
        <v>40</v>
      </c>
      <c r="N112" s="45"/>
      <c r="O112" s="45"/>
      <c r="P112" s="45"/>
      <c r="Q112" s="53"/>
      <c r="R112" s="53"/>
      <c r="S112" s="53"/>
    </row>
    <row r="113" spans="1:19" s="65" customFormat="1" ht="28.5" hidden="1" customHeight="1" x14ac:dyDescent="0.85">
      <c r="A113" s="29">
        <f>A112+1</f>
        <v>13</v>
      </c>
      <c r="B113" s="58"/>
      <c r="C113" s="41" t="s">
        <v>211</v>
      </c>
      <c r="D113" s="42"/>
      <c r="E113" s="42"/>
      <c r="F113" s="36"/>
      <c r="G113" s="42"/>
      <c r="H113" s="42">
        <v>1</v>
      </c>
      <c r="I113" s="43" t="s">
        <v>61</v>
      </c>
      <c r="J113" s="42" t="s">
        <v>25</v>
      </c>
      <c r="K113" s="42" t="s">
        <v>25</v>
      </c>
      <c r="L113" s="42"/>
      <c r="M113" s="44" t="s">
        <v>40</v>
      </c>
      <c r="N113" s="45"/>
      <c r="O113" s="45"/>
      <c r="P113" s="45">
        <v>1</v>
      </c>
      <c r="Q113" s="68"/>
      <c r="R113" s="68"/>
      <c r="S113" s="68"/>
    </row>
    <row r="114" spans="1:19" s="54" customFormat="1" ht="30" hidden="1" customHeight="1" x14ac:dyDescent="1.05">
      <c r="A114" s="29">
        <f>A113+1</f>
        <v>14</v>
      </c>
      <c r="B114" s="58"/>
      <c r="C114" s="41" t="s">
        <v>212</v>
      </c>
      <c r="D114" s="42"/>
      <c r="E114" s="42"/>
      <c r="F114" s="36"/>
      <c r="G114" s="42"/>
      <c r="H114" s="42">
        <v>1</v>
      </c>
      <c r="I114" s="43" t="s">
        <v>61</v>
      </c>
      <c r="J114" s="42" t="s">
        <v>25</v>
      </c>
      <c r="K114" s="42" t="s">
        <v>25</v>
      </c>
      <c r="L114" s="42"/>
      <c r="M114" s="44" t="s">
        <v>40</v>
      </c>
      <c r="N114" s="45"/>
      <c r="O114" s="45"/>
      <c r="P114" s="45">
        <v>1</v>
      </c>
      <c r="Q114" s="48"/>
      <c r="R114" s="48"/>
      <c r="S114" s="48"/>
    </row>
    <row r="115" spans="1:19" s="65" customFormat="1" ht="28.5" hidden="1" customHeight="1" x14ac:dyDescent="1.05">
      <c r="A115" s="29">
        <v>29</v>
      </c>
      <c r="B115" s="58"/>
      <c r="C115" s="41" t="s">
        <v>213</v>
      </c>
      <c r="D115" s="32"/>
      <c r="E115" s="32"/>
      <c r="F115" s="33"/>
      <c r="G115" s="33"/>
      <c r="H115" s="35">
        <v>1</v>
      </c>
      <c r="I115" s="35" t="s">
        <v>61</v>
      </c>
      <c r="J115" s="32" t="s">
        <v>19</v>
      </c>
      <c r="K115" s="32" t="s">
        <v>20</v>
      </c>
      <c r="L115" s="32"/>
      <c r="M115" s="36" t="s">
        <v>21</v>
      </c>
      <c r="N115" s="37"/>
      <c r="O115" s="37"/>
      <c r="P115" s="37">
        <v>1</v>
      </c>
      <c r="Q115" s="48"/>
      <c r="R115" s="48"/>
      <c r="S115" s="48"/>
    </row>
    <row r="116" spans="1:19" ht="30" hidden="1" customHeight="1" x14ac:dyDescent="0.85">
      <c r="A116" s="29">
        <v>20</v>
      </c>
      <c r="B116" s="58" t="s">
        <v>160</v>
      </c>
      <c r="C116" s="67" t="s">
        <v>214</v>
      </c>
      <c r="D116" s="42"/>
      <c r="E116" s="42"/>
      <c r="F116" s="36"/>
      <c r="G116" s="42"/>
      <c r="H116" s="42">
        <v>1</v>
      </c>
      <c r="I116" s="43" t="s">
        <v>57</v>
      </c>
      <c r="J116" s="42" t="s">
        <v>25</v>
      </c>
      <c r="K116" s="42" t="s">
        <v>25</v>
      </c>
      <c r="L116" s="42"/>
      <c r="M116" s="44" t="s">
        <v>40</v>
      </c>
      <c r="N116" s="52"/>
      <c r="O116" s="52"/>
      <c r="P116" s="52">
        <v>1</v>
      </c>
      <c r="Q116" s="53"/>
      <c r="R116" s="53"/>
      <c r="S116" s="53"/>
    </row>
    <row r="117" spans="1:19" s="54" customFormat="1" ht="30" hidden="1" customHeight="1" x14ac:dyDescent="1.05">
      <c r="A117" s="29">
        <f t="shared" ref="A117:A125" si="1">A116+1</f>
        <v>21</v>
      </c>
      <c r="B117" s="58"/>
      <c r="C117" s="67" t="s">
        <v>214</v>
      </c>
      <c r="D117" s="32"/>
      <c r="E117" s="32"/>
      <c r="F117" s="33"/>
      <c r="G117" s="33"/>
      <c r="H117" s="35">
        <v>1</v>
      </c>
      <c r="I117" s="35" t="s">
        <v>57</v>
      </c>
      <c r="J117" s="32" t="s">
        <v>19</v>
      </c>
      <c r="K117" s="32" t="s">
        <v>20</v>
      </c>
      <c r="L117" s="32"/>
      <c r="M117" s="36" t="s">
        <v>21</v>
      </c>
      <c r="N117" s="37"/>
      <c r="O117" s="37"/>
      <c r="P117" s="37">
        <v>1</v>
      </c>
      <c r="Q117" s="38"/>
      <c r="R117" s="38"/>
      <c r="S117" s="38"/>
    </row>
    <row r="118" spans="1:19" s="65" customFormat="1" ht="28.5" hidden="1" customHeight="1" x14ac:dyDescent="1.05">
      <c r="A118" s="29">
        <f t="shared" si="1"/>
        <v>22</v>
      </c>
      <c r="B118" s="30"/>
      <c r="C118" s="31" t="s">
        <v>154</v>
      </c>
      <c r="D118" s="59"/>
      <c r="E118" s="59"/>
      <c r="F118" s="59" t="s">
        <v>155</v>
      </c>
      <c r="G118" s="59"/>
      <c r="H118" s="76">
        <v>1</v>
      </c>
      <c r="I118" s="59" t="s">
        <v>57</v>
      </c>
      <c r="J118" s="42" t="s">
        <v>25</v>
      </c>
      <c r="K118" s="42" t="s">
        <v>25</v>
      </c>
      <c r="L118" s="42"/>
      <c r="M118" s="94" t="s">
        <v>40</v>
      </c>
      <c r="N118" s="37"/>
      <c r="O118" s="37"/>
      <c r="P118" s="37">
        <v>1</v>
      </c>
      <c r="Q118" s="68"/>
      <c r="R118" s="68"/>
      <c r="S118" s="68"/>
    </row>
    <row r="119" spans="1:19" ht="30" hidden="1" customHeight="1" x14ac:dyDescent="1.05">
      <c r="A119" s="29">
        <f t="shared" si="1"/>
        <v>23</v>
      </c>
      <c r="B119" s="30"/>
      <c r="C119" s="31" t="s">
        <v>154</v>
      </c>
      <c r="D119" s="59"/>
      <c r="E119" s="59"/>
      <c r="F119" s="59" t="s">
        <v>155</v>
      </c>
      <c r="G119" s="59"/>
      <c r="H119" s="76">
        <v>1</v>
      </c>
      <c r="I119" s="59" t="s">
        <v>57</v>
      </c>
      <c r="J119" s="42" t="s">
        <v>25</v>
      </c>
      <c r="K119" s="42" t="s">
        <v>25</v>
      </c>
      <c r="L119" s="42"/>
      <c r="M119" s="94" t="s">
        <v>40</v>
      </c>
      <c r="N119" s="37"/>
      <c r="O119" s="37"/>
      <c r="P119" s="37">
        <v>1</v>
      </c>
    </row>
    <row r="120" spans="1:19" ht="30" customHeight="1" x14ac:dyDescent="1.05">
      <c r="A120" s="29">
        <f t="shared" si="1"/>
        <v>24</v>
      </c>
      <c r="B120" s="47" t="s">
        <v>215</v>
      </c>
      <c r="C120" s="41" t="s">
        <v>184</v>
      </c>
      <c r="D120" s="42"/>
      <c r="E120" s="42"/>
      <c r="F120" s="36"/>
      <c r="G120" s="42"/>
      <c r="H120" s="42">
        <v>1</v>
      </c>
      <c r="I120" s="43" t="s">
        <v>185</v>
      </c>
      <c r="J120" s="42" t="s">
        <v>25</v>
      </c>
      <c r="K120" s="42" t="s">
        <v>25</v>
      </c>
      <c r="L120" s="42"/>
      <c r="M120" s="60" t="s">
        <v>26</v>
      </c>
      <c r="N120" s="64"/>
      <c r="O120" s="64"/>
      <c r="P120" s="64">
        <v>1</v>
      </c>
      <c r="Q120" s="38"/>
      <c r="R120" s="38"/>
      <c r="S120" s="38"/>
    </row>
    <row r="121" spans="1:19" ht="30" hidden="1" customHeight="1" x14ac:dyDescent="1.05">
      <c r="A121" s="29">
        <f t="shared" si="1"/>
        <v>25</v>
      </c>
      <c r="B121" s="30"/>
      <c r="C121" s="31" t="s">
        <v>154</v>
      </c>
      <c r="D121" s="59"/>
      <c r="E121" s="59"/>
      <c r="F121" s="59" t="s">
        <v>155</v>
      </c>
      <c r="G121" s="59"/>
      <c r="H121" s="76">
        <v>2</v>
      </c>
      <c r="I121" s="59" t="s">
        <v>57</v>
      </c>
      <c r="J121" s="42" t="s">
        <v>25</v>
      </c>
      <c r="K121" s="42" t="s">
        <v>25</v>
      </c>
      <c r="L121" s="42"/>
      <c r="M121" s="62" t="s">
        <v>44</v>
      </c>
      <c r="N121" s="37"/>
      <c r="O121" s="37"/>
      <c r="P121" s="37">
        <v>1</v>
      </c>
      <c r="Q121" s="48"/>
      <c r="R121" s="48"/>
      <c r="S121" s="48"/>
    </row>
    <row r="122" spans="1:19" ht="30" hidden="1" customHeight="1" x14ac:dyDescent="1.05">
      <c r="A122" s="29">
        <f t="shared" si="1"/>
        <v>26</v>
      </c>
      <c r="B122" s="30"/>
      <c r="C122" s="31" t="s">
        <v>154</v>
      </c>
      <c r="D122" s="59"/>
      <c r="E122" s="59"/>
      <c r="F122" s="59" t="s">
        <v>155</v>
      </c>
      <c r="G122" s="59"/>
      <c r="H122" s="59">
        <v>1</v>
      </c>
      <c r="I122" s="59" t="s">
        <v>57</v>
      </c>
      <c r="J122" s="42" t="s">
        <v>25</v>
      </c>
      <c r="K122" s="42" t="s">
        <v>25</v>
      </c>
      <c r="L122" s="42"/>
      <c r="M122" s="44" t="s">
        <v>33</v>
      </c>
      <c r="N122" s="37" t="s">
        <v>33</v>
      </c>
      <c r="O122" s="37"/>
      <c r="P122" s="37">
        <v>1</v>
      </c>
      <c r="Q122" s="48"/>
      <c r="R122" s="48"/>
      <c r="S122" s="48"/>
    </row>
    <row r="123" spans="1:19" ht="30" hidden="1" customHeight="1" x14ac:dyDescent="1.05">
      <c r="A123" s="29">
        <f t="shared" si="1"/>
        <v>27</v>
      </c>
      <c r="B123" s="30"/>
      <c r="C123" s="31" t="s">
        <v>154</v>
      </c>
      <c r="D123" s="59"/>
      <c r="E123" s="59"/>
      <c r="F123" s="59" t="s">
        <v>155</v>
      </c>
      <c r="G123" s="59"/>
      <c r="H123" s="59">
        <v>1</v>
      </c>
      <c r="I123" s="59" t="s">
        <v>57</v>
      </c>
      <c r="J123" s="42" t="s">
        <v>25</v>
      </c>
      <c r="K123" s="42" t="s">
        <v>25</v>
      </c>
      <c r="L123" s="42"/>
      <c r="M123" s="44" t="s">
        <v>33</v>
      </c>
      <c r="N123" s="37" t="s">
        <v>33</v>
      </c>
      <c r="O123" s="37"/>
      <c r="P123" s="37">
        <v>1</v>
      </c>
      <c r="Q123" s="48"/>
      <c r="R123" s="48"/>
      <c r="S123" s="48"/>
    </row>
    <row r="124" spans="1:19" s="55" customFormat="1" ht="30" hidden="1" customHeight="1" x14ac:dyDescent="1.05">
      <c r="A124" s="29">
        <f t="shared" si="1"/>
        <v>28</v>
      </c>
      <c r="B124" s="30"/>
      <c r="C124" s="31" t="s">
        <v>154</v>
      </c>
      <c r="D124" s="32"/>
      <c r="E124" s="32"/>
      <c r="F124" s="33" t="s">
        <v>216</v>
      </c>
      <c r="G124" s="33"/>
      <c r="H124" s="35">
        <v>2</v>
      </c>
      <c r="I124" s="35" t="s">
        <v>57</v>
      </c>
      <c r="J124" s="32" t="s">
        <v>19</v>
      </c>
      <c r="K124" s="32" t="s">
        <v>20</v>
      </c>
      <c r="L124" s="32"/>
      <c r="M124" s="36" t="s">
        <v>21</v>
      </c>
      <c r="N124" s="37"/>
      <c r="O124" s="37"/>
      <c r="P124" s="37">
        <v>1</v>
      </c>
      <c r="Q124" s="46"/>
      <c r="R124" s="46"/>
      <c r="S124" s="46"/>
    </row>
    <row r="125" spans="1:19" s="65" customFormat="1" ht="34.5" hidden="1" customHeight="1" x14ac:dyDescent="0.85">
      <c r="A125" s="29">
        <f t="shared" si="1"/>
        <v>29</v>
      </c>
      <c r="B125" s="30"/>
      <c r="C125" s="31" t="s">
        <v>154</v>
      </c>
      <c r="D125" s="32"/>
      <c r="E125" s="32"/>
      <c r="F125" s="59" t="s">
        <v>155</v>
      </c>
      <c r="G125" s="33"/>
      <c r="H125" s="35">
        <v>2</v>
      </c>
      <c r="I125" s="35" t="s">
        <v>57</v>
      </c>
      <c r="J125" s="32" t="s">
        <v>19</v>
      </c>
      <c r="K125" s="32" t="s">
        <v>20</v>
      </c>
      <c r="L125" s="32"/>
      <c r="M125" s="36" t="s">
        <v>21</v>
      </c>
      <c r="N125" s="45"/>
      <c r="O125" s="45"/>
      <c r="P125" s="45">
        <v>1</v>
      </c>
      <c r="Q125" s="48"/>
      <c r="R125" s="48"/>
      <c r="S125" s="48"/>
    </row>
    <row r="126" spans="1:19" ht="30" hidden="1" customHeight="1" x14ac:dyDescent="1.05">
      <c r="A126" s="29"/>
      <c r="B126" s="30"/>
      <c r="C126" s="31" t="s">
        <v>154</v>
      </c>
      <c r="D126" s="59"/>
      <c r="E126" s="59"/>
      <c r="F126" s="59" t="s">
        <v>155</v>
      </c>
      <c r="G126" s="59"/>
      <c r="H126" s="59">
        <v>1</v>
      </c>
      <c r="I126" s="59" t="s">
        <v>57</v>
      </c>
      <c r="J126" s="42" t="s">
        <v>25</v>
      </c>
      <c r="K126" s="42" t="s">
        <v>25</v>
      </c>
      <c r="L126" s="42"/>
      <c r="M126" s="44" t="s">
        <v>41</v>
      </c>
      <c r="N126" s="37"/>
      <c r="O126" s="37"/>
      <c r="P126" s="37">
        <v>1</v>
      </c>
    </row>
    <row r="127" spans="1:19" s="54" customFormat="1" ht="30" hidden="1" customHeight="1" x14ac:dyDescent="1.05">
      <c r="A127" s="29">
        <f>A126+1</f>
        <v>1</v>
      </c>
      <c r="B127" s="58" t="s">
        <v>217</v>
      </c>
      <c r="C127" s="67" t="s">
        <v>218</v>
      </c>
      <c r="D127" s="42"/>
      <c r="E127" s="42"/>
      <c r="F127" s="36" t="s">
        <v>219</v>
      </c>
      <c r="G127" s="42"/>
      <c r="H127" s="42">
        <v>1</v>
      </c>
      <c r="I127" s="43" t="s">
        <v>153</v>
      </c>
      <c r="J127" s="42" t="s">
        <v>25</v>
      </c>
      <c r="K127" s="42" t="s">
        <v>25</v>
      </c>
      <c r="L127" s="42"/>
      <c r="M127" s="44" t="s">
        <v>40</v>
      </c>
      <c r="N127" s="52"/>
      <c r="O127" s="52"/>
      <c r="P127" s="52">
        <v>1</v>
      </c>
      <c r="Q127" s="48"/>
      <c r="R127" s="48"/>
      <c r="S127" s="48"/>
    </row>
    <row r="128" spans="1:19" s="54" customFormat="1" ht="30" hidden="1" customHeight="1" x14ac:dyDescent="1.05">
      <c r="A128" s="29">
        <f>A127+1</f>
        <v>2</v>
      </c>
      <c r="B128" s="78" t="s">
        <v>220</v>
      </c>
      <c r="C128" s="66" t="s">
        <v>218</v>
      </c>
      <c r="D128" s="49"/>
      <c r="E128" s="50"/>
      <c r="F128" s="49" t="s">
        <v>219</v>
      </c>
      <c r="G128" s="49"/>
      <c r="H128" s="49">
        <v>1</v>
      </c>
      <c r="I128" s="49" t="s">
        <v>24</v>
      </c>
      <c r="J128" s="49" t="s">
        <v>25</v>
      </c>
      <c r="K128" s="51">
        <v>46157</v>
      </c>
      <c r="L128" s="51"/>
      <c r="M128" s="62" t="s">
        <v>44</v>
      </c>
      <c r="N128" s="37"/>
      <c r="O128" s="37"/>
      <c r="P128" s="37">
        <v>1</v>
      </c>
      <c r="Q128" s="46"/>
      <c r="R128" s="46"/>
      <c r="S128" s="46"/>
    </row>
    <row r="129" spans="1:19" s="54" customFormat="1" ht="30" hidden="1" customHeight="1" x14ac:dyDescent="1.05">
      <c r="A129" s="29">
        <f>A128+1</f>
        <v>3</v>
      </c>
      <c r="B129" s="78" t="s">
        <v>221</v>
      </c>
      <c r="C129" s="66" t="s">
        <v>218</v>
      </c>
      <c r="D129" s="49"/>
      <c r="E129" s="50"/>
      <c r="F129" s="49" t="s">
        <v>222</v>
      </c>
      <c r="G129" s="49"/>
      <c r="H129" s="49">
        <v>1</v>
      </c>
      <c r="I129" s="49" t="s">
        <v>24</v>
      </c>
      <c r="J129" s="49" t="s">
        <v>25</v>
      </c>
      <c r="K129" s="51">
        <v>46157</v>
      </c>
      <c r="L129" s="51"/>
      <c r="M129" s="62" t="s">
        <v>44</v>
      </c>
      <c r="N129" s="56"/>
      <c r="O129" s="56"/>
      <c r="P129" s="57">
        <v>1</v>
      </c>
      <c r="Q129" s="46"/>
      <c r="R129" s="46"/>
      <c r="S129" s="46"/>
    </row>
    <row r="130" spans="1:19" s="55" customFormat="1" ht="30" hidden="1" customHeight="1" x14ac:dyDescent="1.05">
      <c r="A130" s="29">
        <v>19</v>
      </c>
      <c r="B130" s="58"/>
      <c r="C130" s="67" t="s">
        <v>218</v>
      </c>
      <c r="D130" s="49"/>
      <c r="E130" s="50"/>
      <c r="F130" s="49" t="s">
        <v>222</v>
      </c>
      <c r="G130" s="32"/>
      <c r="H130" s="35">
        <v>1</v>
      </c>
      <c r="I130" s="35" t="s">
        <v>61</v>
      </c>
      <c r="J130" s="32" t="s">
        <v>19</v>
      </c>
      <c r="K130" s="32"/>
      <c r="L130" s="32"/>
      <c r="M130" s="36" t="s">
        <v>21</v>
      </c>
      <c r="N130" s="37"/>
      <c r="O130" s="37"/>
      <c r="P130" s="37">
        <v>1</v>
      </c>
      <c r="Q130" s="38"/>
      <c r="R130" s="38"/>
      <c r="S130" s="38"/>
    </row>
    <row r="131" spans="1:19" s="65" customFormat="1" ht="28.5" hidden="1" customHeight="1" x14ac:dyDescent="1.05">
      <c r="A131" s="29">
        <f>A130+1</f>
        <v>20</v>
      </c>
      <c r="B131" s="58"/>
      <c r="C131" s="67" t="s">
        <v>218</v>
      </c>
      <c r="D131" s="32"/>
      <c r="E131" s="32"/>
      <c r="F131" s="36" t="s">
        <v>219</v>
      </c>
      <c r="G131" s="32"/>
      <c r="H131" s="35">
        <v>1</v>
      </c>
      <c r="I131" s="35" t="s">
        <v>61</v>
      </c>
      <c r="J131" s="32" t="s">
        <v>19</v>
      </c>
      <c r="K131" s="32" t="s">
        <v>20</v>
      </c>
      <c r="L131" s="32"/>
      <c r="M131" s="36" t="s">
        <v>21</v>
      </c>
      <c r="N131" s="37"/>
      <c r="O131" s="37"/>
      <c r="P131" s="37">
        <v>1</v>
      </c>
      <c r="Q131" s="46"/>
      <c r="R131" s="46"/>
      <c r="S131" s="46"/>
    </row>
    <row r="132" spans="1:19" s="55" customFormat="1" ht="30" hidden="1" customHeight="1" x14ac:dyDescent="0.25">
      <c r="A132" s="29" t="e">
        <f>#REF!+1</f>
        <v>#REF!</v>
      </c>
      <c r="B132" s="58" t="s">
        <v>223</v>
      </c>
      <c r="C132" s="41" t="s">
        <v>224</v>
      </c>
      <c r="D132" s="43"/>
      <c r="E132" s="43"/>
      <c r="F132" s="43"/>
      <c r="G132" s="43"/>
      <c r="H132" s="43">
        <v>1</v>
      </c>
      <c r="I132" s="43" t="s">
        <v>153</v>
      </c>
      <c r="J132" s="42" t="s">
        <v>25</v>
      </c>
      <c r="K132" s="42" t="s">
        <v>25</v>
      </c>
      <c r="L132" s="42"/>
      <c r="M132" s="44" t="s">
        <v>40</v>
      </c>
      <c r="N132" s="45"/>
      <c r="O132" s="45"/>
      <c r="P132" s="45">
        <v>1</v>
      </c>
      <c r="Q132" s="46"/>
      <c r="R132" s="46"/>
      <c r="S132" s="46"/>
    </row>
    <row r="133" spans="1:19" s="55" customFormat="1" ht="30" hidden="1" customHeight="1" x14ac:dyDescent="0.25">
      <c r="A133" s="29" t="e">
        <f>#REF!+1</f>
        <v>#REF!</v>
      </c>
      <c r="B133" s="58" t="s">
        <v>225</v>
      </c>
      <c r="C133" s="41" t="s">
        <v>224</v>
      </c>
      <c r="D133" s="43"/>
      <c r="E133" s="43"/>
      <c r="F133" s="43"/>
      <c r="G133" s="43"/>
      <c r="H133" s="43">
        <v>1</v>
      </c>
      <c r="I133" s="43" t="s">
        <v>153</v>
      </c>
      <c r="J133" s="42" t="s">
        <v>25</v>
      </c>
      <c r="K133" s="42" t="s">
        <v>25</v>
      </c>
      <c r="L133" s="42"/>
      <c r="M133" s="44" t="s">
        <v>40</v>
      </c>
      <c r="N133" s="45"/>
      <c r="O133" s="45"/>
      <c r="P133" s="45">
        <v>1</v>
      </c>
      <c r="Q133" s="46"/>
      <c r="R133" s="46"/>
      <c r="S133" s="46"/>
    </row>
    <row r="134" spans="1:19" s="95" customFormat="1" ht="30" hidden="1" customHeight="1" x14ac:dyDescent="0.3">
      <c r="A134" s="29" t="e">
        <f>A133+1</f>
        <v>#REF!</v>
      </c>
      <c r="B134" s="58" t="s">
        <v>226</v>
      </c>
      <c r="C134" s="41" t="s">
        <v>224</v>
      </c>
      <c r="D134" s="43"/>
      <c r="E134" s="43"/>
      <c r="F134" s="43"/>
      <c r="G134" s="43"/>
      <c r="H134" s="43">
        <v>1</v>
      </c>
      <c r="I134" s="43" t="s">
        <v>153</v>
      </c>
      <c r="J134" s="42" t="s">
        <v>25</v>
      </c>
      <c r="K134" s="42" t="s">
        <v>25</v>
      </c>
      <c r="L134" s="42"/>
      <c r="M134" s="44" t="s">
        <v>40</v>
      </c>
      <c r="N134" s="45"/>
      <c r="O134" s="45"/>
      <c r="P134" s="45">
        <v>1</v>
      </c>
      <c r="Q134" s="46"/>
      <c r="R134" s="46"/>
      <c r="S134" s="46"/>
    </row>
    <row r="135" spans="1:19" s="54" customFormat="1" ht="30" hidden="1" customHeight="1" x14ac:dyDescent="1.05">
      <c r="A135" s="29" t="e">
        <f>A134+1</f>
        <v>#REF!</v>
      </c>
      <c r="B135" s="58" t="s">
        <v>227</v>
      </c>
      <c r="C135" s="41" t="s">
        <v>224</v>
      </c>
      <c r="D135" s="43"/>
      <c r="E135" s="43"/>
      <c r="F135" s="43"/>
      <c r="G135" s="43"/>
      <c r="H135" s="43">
        <v>1</v>
      </c>
      <c r="I135" s="43" t="s">
        <v>153</v>
      </c>
      <c r="J135" s="42" t="s">
        <v>25</v>
      </c>
      <c r="K135" s="42" t="s">
        <v>25</v>
      </c>
      <c r="L135" s="42"/>
      <c r="M135" s="44" t="s">
        <v>40</v>
      </c>
      <c r="N135" s="45"/>
      <c r="O135" s="45"/>
      <c r="P135" s="45">
        <v>1</v>
      </c>
      <c r="Q135" s="46"/>
      <c r="R135" s="46"/>
      <c r="S135" s="46"/>
    </row>
    <row r="136" spans="1:19" s="54" customFormat="1" ht="30" hidden="1" customHeight="1" x14ac:dyDescent="1.05">
      <c r="A136" s="29" t="e">
        <f>A135+1</f>
        <v>#REF!</v>
      </c>
      <c r="B136" s="58" t="s">
        <v>160</v>
      </c>
      <c r="C136" s="41" t="s">
        <v>224</v>
      </c>
      <c r="D136" s="49"/>
      <c r="E136" s="50"/>
      <c r="F136" s="49"/>
      <c r="G136" s="49"/>
      <c r="H136" s="49">
        <v>1</v>
      </c>
      <c r="I136" s="49" t="s">
        <v>153</v>
      </c>
      <c r="J136" s="49" t="s">
        <v>25</v>
      </c>
      <c r="K136" s="51"/>
      <c r="L136" s="51">
        <v>46157</v>
      </c>
      <c r="M136" s="62" t="s">
        <v>44</v>
      </c>
      <c r="N136" s="56"/>
      <c r="O136" s="56"/>
      <c r="P136" s="57">
        <v>1</v>
      </c>
      <c r="Q136" s="48"/>
      <c r="R136" s="96" t="s">
        <v>228</v>
      </c>
      <c r="S136" s="48"/>
    </row>
    <row r="137" spans="1:19" s="65" customFormat="1" ht="28.5" hidden="1" customHeight="1" x14ac:dyDescent="0.85">
      <c r="A137" s="29"/>
      <c r="B137" s="58" t="s">
        <v>160</v>
      </c>
      <c r="C137" s="41" t="s">
        <v>224</v>
      </c>
      <c r="D137" s="49"/>
      <c r="E137" s="50"/>
      <c r="F137" s="49"/>
      <c r="G137" s="49"/>
      <c r="H137" s="49">
        <v>1</v>
      </c>
      <c r="I137" s="49" t="s">
        <v>153</v>
      </c>
      <c r="J137" s="49" t="s">
        <v>25</v>
      </c>
      <c r="K137" s="51"/>
      <c r="L137" s="51"/>
      <c r="M137" s="62" t="s">
        <v>44</v>
      </c>
      <c r="N137" s="56"/>
      <c r="O137" s="56"/>
      <c r="P137" s="57">
        <v>1</v>
      </c>
      <c r="Q137" s="48"/>
      <c r="R137" s="96"/>
      <c r="S137" s="48"/>
    </row>
    <row r="138" spans="1:19" s="65" customFormat="1" ht="34.5" hidden="1" customHeight="1" x14ac:dyDescent="0.85">
      <c r="A138" s="29" t="e">
        <f>A136+1</f>
        <v>#REF!</v>
      </c>
      <c r="B138" s="58" t="s">
        <v>229</v>
      </c>
      <c r="C138" s="41" t="s">
        <v>224</v>
      </c>
      <c r="D138" s="49"/>
      <c r="E138" s="50"/>
      <c r="F138" s="49"/>
      <c r="G138" s="49"/>
      <c r="H138" s="49">
        <v>1</v>
      </c>
      <c r="I138" s="49" t="s">
        <v>153</v>
      </c>
      <c r="J138" s="49" t="s">
        <v>25</v>
      </c>
      <c r="K138" s="51"/>
      <c r="L138" s="51">
        <v>46157</v>
      </c>
      <c r="M138" s="62" t="s">
        <v>44</v>
      </c>
      <c r="N138" s="56"/>
      <c r="O138" s="56"/>
      <c r="P138" s="57">
        <v>1</v>
      </c>
      <c r="Q138" s="48"/>
      <c r="R138" s="96" t="s">
        <v>230</v>
      </c>
      <c r="S138" s="48"/>
    </row>
    <row r="139" spans="1:19" s="65" customFormat="1" ht="28.5" hidden="1" customHeight="1" x14ac:dyDescent="1.05">
      <c r="A139" s="29" t="e">
        <f>A138+1</f>
        <v>#REF!</v>
      </c>
      <c r="B139" s="58"/>
      <c r="C139" s="41" t="s">
        <v>224</v>
      </c>
      <c r="D139" s="32"/>
      <c r="E139" s="32"/>
      <c r="F139" s="33"/>
      <c r="G139" s="33"/>
      <c r="H139" s="35">
        <v>3</v>
      </c>
      <c r="I139" s="35" t="s">
        <v>153</v>
      </c>
      <c r="J139" s="32" t="s">
        <v>19</v>
      </c>
      <c r="K139" s="32" t="s">
        <v>20</v>
      </c>
      <c r="L139" s="32"/>
      <c r="M139" s="36" t="s">
        <v>21</v>
      </c>
      <c r="N139" s="37"/>
      <c r="O139" s="37"/>
      <c r="P139" s="37">
        <v>1</v>
      </c>
      <c r="Q139" s="46"/>
      <c r="R139" s="46"/>
      <c r="S139" s="46"/>
    </row>
    <row r="140" spans="1:19" s="65" customFormat="1" ht="28.5" hidden="1" customHeight="1" x14ac:dyDescent="0.85">
      <c r="A140" s="29" t="e">
        <f>A139+1</f>
        <v>#REF!</v>
      </c>
      <c r="B140" s="78" t="s">
        <v>160</v>
      </c>
      <c r="C140" s="66" t="s">
        <v>224</v>
      </c>
      <c r="D140" s="60"/>
      <c r="E140" s="60"/>
      <c r="F140" s="60"/>
      <c r="G140" s="60"/>
      <c r="H140" s="60">
        <v>1</v>
      </c>
      <c r="I140" s="60" t="s">
        <v>153</v>
      </c>
      <c r="J140" s="60" t="s">
        <v>25</v>
      </c>
      <c r="K140" s="63"/>
      <c r="L140" s="63"/>
      <c r="M140" s="60" t="s">
        <v>41</v>
      </c>
      <c r="N140" s="64"/>
      <c r="O140" s="64"/>
      <c r="P140" s="64">
        <v>1</v>
      </c>
      <c r="Q140" s="48"/>
      <c r="R140" s="48"/>
      <c r="S140" s="48"/>
    </row>
    <row r="141" spans="1:19" s="65" customFormat="1" ht="28.5" hidden="1" customHeight="1" x14ac:dyDescent="0.85">
      <c r="A141" s="29"/>
      <c r="B141" s="78" t="s">
        <v>231</v>
      </c>
      <c r="C141" s="66" t="s">
        <v>224</v>
      </c>
      <c r="D141" s="60"/>
      <c r="E141" s="60"/>
      <c r="F141" s="60"/>
      <c r="G141" s="60"/>
      <c r="H141" s="60">
        <v>1</v>
      </c>
      <c r="I141" s="60" t="s">
        <v>153</v>
      </c>
      <c r="J141" s="60" t="s">
        <v>19</v>
      </c>
      <c r="K141" s="63"/>
      <c r="L141" s="63"/>
      <c r="M141" s="60" t="s">
        <v>41</v>
      </c>
      <c r="N141" s="64"/>
      <c r="O141" s="64"/>
      <c r="P141" s="64">
        <v>1</v>
      </c>
      <c r="Q141" s="46"/>
      <c r="R141" s="46"/>
      <c r="S141" s="46"/>
    </row>
    <row r="142" spans="1:19" s="65" customFormat="1" ht="28.5" hidden="1" customHeight="1" x14ac:dyDescent="0.85">
      <c r="A142" s="29"/>
      <c r="B142" s="78" t="s">
        <v>232</v>
      </c>
      <c r="C142" s="66" t="s">
        <v>224</v>
      </c>
      <c r="D142" s="60"/>
      <c r="E142" s="60"/>
      <c r="F142" s="60"/>
      <c r="G142" s="60"/>
      <c r="H142" s="60">
        <v>1</v>
      </c>
      <c r="I142" s="60" t="s">
        <v>153</v>
      </c>
      <c r="J142" s="60" t="s">
        <v>19</v>
      </c>
      <c r="K142" s="63"/>
      <c r="L142" s="63"/>
      <c r="M142" s="60" t="s">
        <v>41</v>
      </c>
      <c r="N142" s="64"/>
      <c r="O142" s="64"/>
      <c r="P142" s="64">
        <v>1</v>
      </c>
      <c r="Q142" s="46"/>
      <c r="R142" s="46"/>
      <c r="S142" s="46"/>
    </row>
    <row r="143" spans="1:19" s="65" customFormat="1" ht="28.5" hidden="1" customHeight="1" x14ac:dyDescent="0.85">
      <c r="A143" s="29"/>
      <c r="B143" s="78" t="s">
        <v>233</v>
      </c>
      <c r="C143" s="66" t="s">
        <v>224</v>
      </c>
      <c r="D143" s="60"/>
      <c r="E143" s="60"/>
      <c r="F143" s="60"/>
      <c r="G143" s="60"/>
      <c r="H143" s="60">
        <v>1</v>
      </c>
      <c r="I143" s="60" t="s">
        <v>153</v>
      </c>
      <c r="J143" s="60" t="s">
        <v>19</v>
      </c>
      <c r="K143" s="63"/>
      <c r="L143" s="63"/>
      <c r="M143" s="60" t="s">
        <v>41</v>
      </c>
      <c r="N143" s="64"/>
      <c r="O143" s="64"/>
      <c r="P143" s="64">
        <v>1</v>
      </c>
      <c r="Q143" s="46"/>
      <c r="R143" s="46"/>
      <c r="S143" s="46"/>
    </row>
    <row r="144" spans="1:19" s="65" customFormat="1" ht="28.5" hidden="1" customHeight="1" x14ac:dyDescent="0.85">
      <c r="A144" s="29"/>
      <c r="B144" s="78" t="s">
        <v>234</v>
      </c>
      <c r="C144" s="66" t="s">
        <v>224</v>
      </c>
      <c r="D144" s="60"/>
      <c r="E144" s="60"/>
      <c r="F144" s="60"/>
      <c r="G144" s="60"/>
      <c r="H144" s="60">
        <v>1</v>
      </c>
      <c r="I144" s="60" t="s">
        <v>153</v>
      </c>
      <c r="J144" s="60" t="s">
        <v>19</v>
      </c>
      <c r="K144" s="63"/>
      <c r="L144" s="63"/>
      <c r="M144" s="60" t="s">
        <v>41</v>
      </c>
      <c r="N144" s="64"/>
      <c r="O144" s="64"/>
      <c r="P144" s="64">
        <v>1</v>
      </c>
      <c r="Q144" s="46"/>
      <c r="R144" s="46"/>
      <c r="S144" s="46"/>
    </row>
    <row r="145" spans="1:19" s="65" customFormat="1" ht="28.5" hidden="1" customHeight="1" x14ac:dyDescent="0.85">
      <c r="A145" s="29" t="e">
        <f>A140+1</f>
        <v>#REF!</v>
      </c>
      <c r="B145" s="78" t="s">
        <v>235</v>
      </c>
      <c r="C145" s="66" t="s">
        <v>224</v>
      </c>
      <c r="D145" s="60"/>
      <c r="E145" s="60"/>
      <c r="F145" s="60"/>
      <c r="G145" s="60"/>
      <c r="H145" s="60">
        <v>1</v>
      </c>
      <c r="I145" s="60" t="s">
        <v>153</v>
      </c>
      <c r="J145" s="60" t="s">
        <v>19</v>
      </c>
      <c r="K145" s="63"/>
      <c r="L145" s="63"/>
      <c r="M145" s="60" t="s">
        <v>41</v>
      </c>
      <c r="N145" s="64"/>
      <c r="O145" s="64"/>
      <c r="P145" s="64">
        <v>1</v>
      </c>
      <c r="Q145" s="53"/>
      <c r="R145" s="53"/>
      <c r="S145" s="53"/>
    </row>
    <row r="146" spans="1:19" ht="30" hidden="1" customHeight="1" x14ac:dyDescent="0.85">
      <c r="A146" s="29"/>
      <c r="B146" s="78" t="s">
        <v>236</v>
      </c>
      <c r="C146" s="66" t="s">
        <v>224</v>
      </c>
      <c r="D146" s="60"/>
      <c r="E146" s="60"/>
      <c r="F146" s="60"/>
      <c r="G146" s="60"/>
      <c r="H146" s="60">
        <v>1</v>
      </c>
      <c r="I146" s="60" t="s">
        <v>153</v>
      </c>
      <c r="J146" s="60" t="s">
        <v>19</v>
      </c>
      <c r="K146" s="63"/>
      <c r="L146" s="63"/>
      <c r="M146" s="60" t="s">
        <v>41</v>
      </c>
      <c r="N146" s="64"/>
      <c r="O146" s="64"/>
      <c r="P146" s="64">
        <v>1</v>
      </c>
      <c r="Q146" s="53"/>
      <c r="R146" s="53"/>
      <c r="S146" s="53"/>
    </row>
    <row r="147" spans="1:19" s="54" customFormat="1" ht="30" hidden="1" customHeight="1" x14ac:dyDescent="1.05">
      <c r="A147" s="29" t="e">
        <f>A145+1</f>
        <v>#REF!</v>
      </c>
      <c r="B147" s="78" t="s">
        <v>227</v>
      </c>
      <c r="C147" s="66" t="s">
        <v>224</v>
      </c>
      <c r="D147" s="60"/>
      <c r="E147" s="60"/>
      <c r="F147" s="60"/>
      <c r="G147" s="60"/>
      <c r="H147" s="60">
        <v>1</v>
      </c>
      <c r="I147" s="60" t="s">
        <v>153</v>
      </c>
      <c r="J147" s="60" t="s">
        <v>25</v>
      </c>
      <c r="K147" s="63"/>
      <c r="L147" s="63"/>
      <c r="M147" s="60" t="s">
        <v>41</v>
      </c>
      <c r="N147" s="64"/>
      <c r="O147" s="64"/>
      <c r="P147" s="64">
        <v>1</v>
      </c>
      <c r="Q147" s="38"/>
      <c r="R147" s="38"/>
      <c r="S147" s="38"/>
    </row>
    <row r="148" spans="1:19" s="54" customFormat="1" ht="30" hidden="1" customHeight="1" x14ac:dyDescent="1.05">
      <c r="A148" s="29" t="e">
        <f t="shared" ref="A148:A155" si="2">A147+1</f>
        <v>#REF!</v>
      </c>
      <c r="B148" s="58" t="s">
        <v>160</v>
      </c>
      <c r="C148" s="41" t="s">
        <v>237</v>
      </c>
      <c r="D148" s="43"/>
      <c r="E148" s="43"/>
      <c r="F148" s="43"/>
      <c r="G148" s="43"/>
      <c r="H148" s="97">
        <v>1</v>
      </c>
      <c r="I148" s="43" t="s">
        <v>153</v>
      </c>
      <c r="J148" s="42" t="s">
        <v>25</v>
      </c>
      <c r="K148" s="42" t="s">
        <v>25</v>
      </c>
      <c r="L148" s="42"/>
      <c r="M148" s="44" t="s">
        <v>40</v>
      </c>
      <c r="N148" s="45"/>
      <c r="O148" s="45"/>
      <c r="P148" s="45">
        <v>1</v>
      </c>
      <c r="Q148" s="53"/>
      <c r="R148" s="53"/>
      <c r="S148" s="53"/>
    </row>
    <row r="149" spans="1:19" s="54" customFormat="1" ht="30" hidden="1" customHeight="1" x14ac:dyDescent="1.05">
      <c r="A149" s="29" t="e">
        <f t="shared" si="2"/>
        <v>#REF!</v>
      </c>
      <c r="B149" s="58" t="s">
        <v>238</v>
      </c>
      <c r="C149" s="41" t="s">
        <v>237</v>
      </c>
      <c r="D149" s="43"/>
      <c r="E149" s="43"/>
      <c r="F149" s="43"/>
      <c r="G149" s="43"/>
      <c r="H149" s="43">
        <v>1</v>
      </c>
      <c r="I149" s="43" t="s">
        <v>153</v>
      </c>
      <c r="J149" s="42" t="s">
        <v>25</v>
      </c>
      <c r="K149" s="42" t="s">
        <v>25</v>
      </c>
      <c r="L149" s="42"/>
      <c r="M149" s="44" t="s">
        <v>40</v>
      </c>
      <c r="N149" s="45"/>
      <c r="O149" s="45"/>
      <c r="P149" s="45">
        <v>1</v>
      </c>
      <c r="Q149" s="46"/>
      <c r="R149" s="46"/>
      <c r="S149" s="46"/>
    </row>
    <row r="150" spans="1:19" s="55" customFormat="1" ht="30" hidden="1" customHeight="1" x14ac:dyDescent="0.25">
      <c r="A150" s="29" t="e">
        <f t="shared" si="2"/>
        <v>#REF!</v>
      </c>
      <c r="B150" s="58" t="s">
        <v>239</v>
      </c>
      <c r="C150" s="41" t="s">
        <v>237</v>
      </c>
      <c r="D150" s="43"/>
      <c r="E150" s="43"/>
      <c r="F150" s="43"/>
      <c r="G150" s="43"/>
      <c r="H150" s="43">
        <v>1</v>
      </c>
      <c r="I150" s="43" t="s">
        <v>153</v>
      </c>
      <c r="J150" s="42" t="s">
        <v>25</v>
      </c>
      <c r="K150" s="42" t="s">
        <v>25</v>
      </c>
      <c r="L150" s="42"/>
      <c r="M150" s="44" t="s">
        <v>40</v>
      </c>
      <c r="N150" s="45"/>
      <c r="O150" s="45"/>
      <c r="P150" s="45">
        <v>1</v>
      </c>
      <c r="Q150" s="46"/>
      <c r="R150" s="45"/>
      <c r="S150" s="46"/>
    </row>
    <row r="151" spans="1:19" s="55" customFormat="1" ht="30" hidden="1" customHeight="1" x14ac:dyDescent="1.05">
      <c r="A151" s="29" t="e">
        <f t="shared" si="2"/>
        <v>#REF!</v>
      </c>
      <c r="B151" s="58" t="s">
        <v>240</v>
      </c>
      <c r="C151" s="41" t="s">
        <v>237</v>
      </c>
      <c r="D151" s="49"/>
      <c r="E151" s="50"/>
      <c r="F151" s="49"/>
      <c r="G151" s="49"/>
      <c r="H151" s="49">
        <v>1</v>
      </c>
      <c r="I151" s="49" t="s">
        <v>153</v>
      </c>
      <c r="J151" s="49" t="s">
        <v>25</v>
      </c>
      <c r="K151" s="51"/>
      <c r="L151" s="51">
        <v>46157</v>
      </c>
      <c r="M151" s="62" t="s">
        <v>44</v>
      </c>
      <c r="N151" s="98"/>
      <c r="O151" s="56"/>
      <c r="P151" s="57">
        <v>1</v>
      </c>
      <c r="Q151" s="38"/>
      <c r="R151" s="37"/>
      <c r="S151" s="38"/>
    </row>
    <row r="152" spans="1:19" s="65" customFormat="1" ht="28.5" hidden="1" customHeight="1" x14ac:dyDescent="0.85">
      <c r="A152" s="29" t="e">
        <f t="shared" si="2"/>
        <v>#REF!</v>
      </c>
      <c r="B152" s="58" t="s">
        <v>241</v>
      </c>
      <c r="C152" s="41" t="s">
        <v>237</v>
      </c>
      <c r="D152" s="49"/>
      <c r="E152" s="50"/>
      <c r="F152" s="49"/>
      <c r="G152" s="49"/>
      <c r="H152" s="49">
        <v>1</v>
      </c>
      <c r="I152" s="49" t="s">
        <v>153</v>
      </c>
      <c r="J152" s="49" t="s">
        <v>25</v>
      </c>
      <c r="K152" s="51"/>
      <c r="L152" s="51">
        <v>46157</v>
      </c>
      <c r="M152" s="62" t="s">
        <v>44</v>
      </c>
      <c r="N152" s="56"/>
      <c r="O152" s="56"/>
      <c r="P152" s="57">
        <v>1</v>
      </c>
      <c r="Q152" s="53"/>
      <c r="R152" s="53"/>
      <c r="S152" s="53"/>
    </row>
    <row r="153" spans="1:19" s="54" customFormat="1" ht="30" hidden="1" customHeight="1" x14ac:dyDescent="1.05">
      <c r="A153" s="29" t="e">
        <f t="shared" si="2"/>
        <v>#REF!</v>
      </c>
      <c r="B153" s="58"/>
      <c r="C153" s="41" t="s">
        <v>237</v>
      </c>
      <c r="D153" s="32"/>
      <c r="E153" s="32"/>
      <c r="F153" s="33"/>
      <c r="G153" s="33"/>
      <c r="H153" s="35">
        <v>2</v>
      </c>
      <c r="I153" s="35" t="s">
        <v>153</v>
      </c>
      <c r="J153" s="32" t="s">
        <v>19</v>
      </c>
      <c r="K153" s="32" t="s">
        <v>20</v>
      </c>
      <c r="L153" s="32"/>
      <c r="M153" s="36" t="s">
        <v>21</v>
      </c>
      <c r="N153" s="37"/>
      <c r="O153" s="37"/>
      <c r="P153" s="37">
        <v>1</v>
      </c>
      <c r="Q153" s="46"/>
      <c r="R153" s="46"/>
      <c r="S153" s="46"/>
    </row>
    <row r="154" spans="1:19" s="54" customFormat="1" ht="30" hidden="1" customHeight="1" x14ac:dyDescent="1.05">
      <c r="A154" s="29" t="e">
        <f t="shared" si="2"/>
        <v>#REF!</v>
      </c>
      <c r="B154" s="78" t="s">
        <v>242</v>
      </c>
      <c r="C154" s="66" t="s">
        <v>237</v>
      </c>
      <c r="D154" s="60"/>
      <c r="E154" s="60"/>
      <c r="F154" s="60"/>
      <c r="G154" s="60"/>
      <c r="H154" s="60">
        <v>1</v>
      </c>
      <c r="I154" s="60" t="s">
        <v>153</v>
      </c>
      <c r="J154" s="60" t="s">
        <v>19</v>
      </c>
      <c r="K154" s="63"/>
      <c r="L154" s="63"/>
      <c r="M154" s="60" t="s">
        <v>41</v>
      </c>
      <c r="N154" s="64"/>
      <c r="O154" s="64"/>
      <c r="P154" s="64">
        <v>1</v>
      </c>
      <c r="Q154" s="48"/>
      <c r="R154" s="48"/>
      <c r="S154" s="48"/>
    </row>
    <row r="155" spans="1:19" s="54" customFormat="1" ht="30" hidden="1" customHeight="1" x14ac:dyDescent="1.05">
      <c r="A155" s="29" t="e">
        <f t="shared" si="2"/>
        <v>#REF!</v>
      </c>
      <c r="B155" s="78" t="s">
        <v>243</v>
      </c>
      <c r="C155" s="66" t="s">
        <v>237</v>
      </c>
      <c r="D155" s="60"/>
      <c r="E155" s="60"/>
      <c r="F155" s="60"/>
      <c r="G155" s="60"/>
      <c r="H155" s="60">
        <v>1</v>
      </c>
      <c r="I155" s="60" t="s">
        <v>153</v>
      </c>
      <c r="J155" s="60" t="s">
        <v>25</v>
      </c>
      <c r="K155" s="63"/>
      <c r="L155" s="63"/>
      <c r="M155" s="60" t="s">
        <v>41</v>
      </c>
      <c r="N155" s="99"/>
      <c r="O155" s="64"/>
      <c r="P155" s="64">
        <v>1</v>
      </c>
      <c r="Q155" s="38"/>
      <c r="R155" s="38"/>
      <c r="S155" s="38"/>
    </row>
    <row r="156" spans="1:19" s="54" customFormat="1" ht="30" hidden="1" customHeight="1" x14ac:dyDescent="1.05">
      <c r="A156" s="29">
        <v>16</v>
      </c>
      <c r="B156" s="58" t="s">
        <v>244</v>
      </c>
      <c r="C156" s="67" t="s">
        <v>152</v>
      </c>
      <c r="D156" s="42"/>
      <c r="E156" s="42"/>
      <c r="F156" s="36"/>
      <c r="G156" s="42"/>
      <c r="H156" s="42">
        <v>1</v>
      </c>
      <c r="I156" s="43" t="s">
        <v>153</v>
      </c>
      <c r="J156" s="42" t="s">
        <v>25</v>
      </c>
      <c r="K156" s="42" t="s">
        <v>25</v>
      </c>
      <c r="L156" s="42"/>
      <c r="M156" s="44" t="s">
        <v>40</v>
      </c>
      <c r="N156" s="52"/>
      <c r="O156" s="52"/>
      <c r="P156" s="52">
        <v>1</v>
      </c>
      <c r="Q156" s="38"/>
      <c r="R156" s="38"/>
      <c r="S156" s="38"/>
    </row>
    <row r="157" spans="1:19" s="54" customFormat="1" ht="30" customHeight="1" x14ac:dyDescent="1.05">
      <c r="A157" s="29">
        <f>A156+1</f>
        <v>17</v>
      </c>
      <c r="B157" s="47" t="s">
        <v>245</v>
      </c>
      <c r="C157" s="41" t="s">
        <v>184</v>
      </c>
      <c r="D157" s="42"/>
      <c r="E157" s="42"/>
      <c r="F157" s="36"/>
      <c r="G157" s="42"/>
      <c r="H157" s="42">
        <v>1</v>
      </c>
      <c r="I157" s="43" t="s">
        <v>185</v>
      </c>
      <c r="J157" s="42" t="s">
        <v>25</v>
      </c>
      <c r="K157" s="42" t="s">
        <v>25</v>
      </c>
      <c r="L157" s="42"/>
      <c r="M157" s="60" t="s">
        <v>26</v>
      </c>
      <c r="N157" s="64"/>
      <c r="O157" s="64"/>
      <c r="P157" s="64">
        <v>1</v>
      </c>
      <c r="Q157" s="38"/>
      <c r="R157" s="38"/>
      <c r="S157" s="38"/>
    </row>
    <row r="158" spans="1:19" s="54" customFormat="1" ht="30" customHeight="1" x14ac:dyDescent="1.05">
      <c r="A158" s="29">
        <f>A157+1</f>
        <v>18</v>
      </c>
      <c r="B158" s="47" t="s">
        <v>246</v>
      </c>
      <c r="C158" s="41" t="s">
        <v>184</v>
      </c>
      <c r="D158" s="42"/>
      <c r="E158" s="42"/>
      <c r="F158" s="36"/>
      <c r="G158" s="42"/>
      <c r="H158" s="42">
        <v>1</v>
      </c>
      <c r="I158" s="43" t="s">
        <v>185</v>
      </c>
      <c r="J158" s="42" t="s">
        <v>25</v>
      </c>
      <c r="K158" s="42" t="s">
        <v>25</v>
      </c>
      <c r="L158" s="42"/>
      <c r="M158" s="60" t="s">
        <v>26</v>
      </c>
      <c r="N158" s="64"/>
      <c r="O158" s="64"/>
      <c r="P158" s="64">
        <v>1</v>
      </c>
      <c r="Q158" s="38"/>
      <c r="R158" s="38"/>
      <c r="S158" s="38"/>
    </row>
    <row r="159" spans="1:19" s="55" customFormat="1" ht="30" customHeight="1" x14ac:dyDescent="0.25">
      <c r="A159" s="40"/>
      <c r="B159" s="30" t="s">
        <v>247</v>
      </c>
      <c r="C159" s="41" t="s">
        <v>149</v>
      </c>
      <c r="D159" s="32"/>
      <c r="E159" s="32"/>
      <c r="F159" s="33"/>
      <c r="G159" s="33"/>
      <c r="H159" s="35">
        <v>1</v>
      </c>
      <c r="I159" s="35" t="s">
        <v>61</v>
      </c>
      <c r="J159" s="32" t="s">
        <v>19</v>
      </c>
      <c r="K159" s="32"/>
      <c r="L159" s="61"/>
      <c r="M159" s="44" t="s">
        <v>26</v>
      </c>
      <c r="N159" s="45"/>
      <c r="O159" s="45"/>
      <c r="P159" s="45">
        <v>1</v>
      </c>
      <c r="Q159" s="46"/>
      <c r="R159" s="46"/>
      <c r="S159" s="46"/>
    </row>
    <row r="160" spans="1:19" s="55" customFormat="1" ht="30" customHeight="1" x14ac:dyDescent="1.05">
      <c r="A160" s="29">
        <f>A159+1</f>
        <v>1</v>
      </c>
      <c r="B160" s="100" t="s">
        <v>248</v>
      </c>
      <c r="C160" s="101" t="s">
        <v>249</v>
      </c>
      <c r="D160" s="32"/>
      <c r="E160" s="32"/>
      <c r="F160" s="33"/>
      <c r="G160" s="32"/>
      <c r="H160" s="73">
        <v>1</v>
      </c>
      <c r="I160" s="35" t="s">
        <v>24</v>
      </c>
      <c r="J160" s="42" t="s">
        <v>25</v>
      </c>
      <c r="K160" s="42" t="s">
        <v>25</v>
      </c>
      <c r="L160" s="42"/>
      <c r="M160" s="44" t="s">
        <v>26</v>
      </c>
      <c r="N160" s="64" t="s">
        <v>250</v>
      </c>
      <c r="O160" s="64"/>
      <c r="P160" s="64">
        <v>1</v>
      </c>
      <c r="Q160" s="38"/>
      <c r="R160" s="38"/>
      <c r="S160" s="38"/>
    </row>
    <row r="161" spans="1:19" s="55" customFormat="1" ht="30" hidden="1" customHeight="1" x14ac:dyDescent="0.85">
      <c r="A161" s="29">
        <f>A160+1</f>
        <v>2</v>
      </c>
      <c r="B161" s="78" t="s">
        <v>251</v>
      </c>
      <c r="C161" s="66" t="s">
        <v>152</v>
      </c>
      <c r="D161" s="49"/>
      <c r="E161" s="50"/>
      <c r="F161" s="49"/>
      <c r="G161" s="49"/>
      <c r="H161" s="49">
        <v>1</v>
      </c>
      <c r="I161" s="49" t="s">
        <v>153</v>
      </c>
      <c r="J161" s="49" t="s">
        <v>25</v>
      </c>
      <c r="K161" s="51"/>
      <c r="L161" s="51">
        <v>46157</v>
      </c>
      <c r="M161" s="62" t="s">
        <v>44</v>
      </c>
      <c r="N161" s="56"/>
      <c r="O161" s="56"/>
      <c r="P161" s="57">
        <v>1</v>
      </c>
      <c r="Q161" s="46"/>
      <c r="R161" s="46"/>
      <c r="S161" s="46"/>
    </row>
    <row r="162" spans="1:19" ht="30" hidden="1" customHeight="1" x14ac:dyDescent="0.85">
      <c r="A162" s="29">
        <v>18</v>
      </c>
      <c r="B162" s="58" t="s">
        <v>252</v>
      </c>
      <c r="C162" s="66" t="s">
        <v>152</v>
      </c>
      <c r="D162" s="60"/>
      <c r="E162" s="60"/>
      <c r="F162" s="60"/>
      <c r="G162" s="60"/>
      <c r="H162" s="60">
        <v>1</v>
      </c>
      <c r="I162" s="60" t="s">
        <v>153</v>
      </c>
      <c r="J162" s="60" t="s">
        <v>25</v>
      </c>
      <c r="K162" s="63"/>
      <c r="L162" s="63"/>
      <c r="M162" s="60" t="s">
        <v>41</v>
      </c>
      <c r="N162" s="64"/>
      <c r="O162" s="64"/>
      <c r="P162" s="64">
        <v>1</v>
      </c>
      <c r="Q162" s="53"/>
      <c r="R162" s="53"/>
      <c r="S162" s="53"/>
    </row>
    <row r="163" spans="1:19" ht="30" hidden="1" customHeight="1" x14ac:dyDescent="0.3">
      <c r="A163" s="29">
        <f>A162+1</f>
        <v>19</v>
      </c>
      <c r="B163" s="58" t="s">
        <v>253</v>
      </c>
      <c r="C163" s="67" t="s">
        <v>254</v>
      </c>
      <c r="D163" s="42"/>
      <c r="E163" s="42"/>
      <c r="F163" s="36"/>
      <c r="G163" s="42"/>
      <c r="H163" s="42">
        <v>1</v>
      </c>
      <c r="I163" s="43" t="s">
        <v>153</v>
      </c>
      <c r="J163" s="42" t="s">
        <v>25</v>
      </c>
      <c r="K163" s="42" t="s">
        <v>25</v>
      </c>
      <c r="L163" s="42"/>
      <c r="M163" s="44" t="s">
        <v>40</v>
      </c>
      <c r="N163" s="52"/>
      <c r="O163" s="52"/>
      <c r="P163" s="52">
        <v>1</v>
      </c>
      <c r="Q163" s="68"/>
      <c r="R163" s="68"/>
      <c r="S163" s="68"/>
    </row>
    <row r="164" spans="1:19" ht="30" hidden="1" customHeight="1" x14ac:dyDescent="0.85">
      <c r="A164" s="29">
        <v>15</v>
      </c>
      <c r="B164" s="58" t="s">
        <v>255</v>
      </c>
      <c r="C164" s="66" t="s">
        <v>254</v>
      </c>
      <c r="D164" s="49"/>
      <c r="E164" s="50"/>
      <c r="F164" s="49"/>
      <c r="G164" s="49"/>
      <c r="H164" s="49">
        <v>1</v>
      </c>
      <c r="I164" s="49" t="s">
        <v>153</v>
      </c>
      <c r="J164" s="49" t="s">
        <v>25</v>
      </c>
      <c r="K164" s="51">
        <v>46159</v>
      </c>
      <c r="L164" s="51"/>
      <c r="M164" s="62" t="s">
        <v>44</v>
      </c>
      <c r="N164" s="56"/>
      <c r="O164" s="56"/>
      <c r="P164" s="57">
        <v>1</v>
      </c>
      <c r="Q164" s="48"/>
      <c r="R164" s="48"/>
      <c r="S164" s="48"/>
    </row>
    <row r="165" spans="1:19" ht="30" hidden="1" customHeight="1" x14ac:dyDescent="0.85">
      <c r="A165" s="29">
        <f>A164+1</f>
        <v>16</v>
      </c>
      <c r="B165" s="78" t="s">
        <v>256</v>
      </c>
      <c r="C165" s="66" t="s">
        <v>254</v>
      </c>
      <c r="D165" s="49"/>
      <c r="E165" s="50"/>
      <c r="F165" s="49"/>
      <c r="G165" s="49"/>
      <c r="H165" s="49">
        <v>1</v>
      </c>
      <c r="I165" s="49" t="s">
        <v>153</v>
      </c>
      <c r="J165" s="49" t="s">
        <v>25</v>
      </c>
      <c r="K165" s="51">
        <v>46170</v>
      </c>
      <c r="L165" s="51"/>
      <c r="M165" s="62" t="s">
        <v>44</v>
      </c>
      <c r="N165" s="56"/>
      <c r="O165" s="56"/>
      <c r="P165" s="57">
        <v>1</v>
      </c>
      <c r="Q165" s="53"/>
      <c r="R165" s="53"/>
      <c r="S165" s="53"/>
    </row>
    <row r="166" spans="1:19" ht="30" hidden="1" customHeight="1" x14ac:dyDescent="1.05">
      <c r="A166" s="29">
        <f>A165+1</f>
        <v>17</v>
      </c>
      <c r="B166" s="58" t="s">
        <v>257</v>
      </c>
      <c r="C166" s="67" t="s">
        <v>254</v>
      </c>
      <c r="D166" s="32"/>
      <c r="E166" s="32"/>
      <c r="F166" s="33"/>
      <c r="G166" s="33"/>
      <c r="H166" s="35">
        <v>1</v>
      </c>
      <c r="I166" s="35" t="s">
        <v>153</v>
      </c>
      <c r="J166" s="32" t="s">
        <v>19</v>
      </c>
      <c r="K166" s="32" t="s">
        <v>20</v>
      </c>
      <c r="L166" s="32"/>
      <c r="M166" s="36" t="s">
        <v>21</v>
      </c>
      <c r="N166" s="37" t="s">
        <v>258</v>
      </c>
      <c r="O166" s="37"/>
      <c r="P166" s="37">
        <v>1</v>
      </c>
    </row>
    <row r="167" spans="1:19" ht="30" hidden="1" customHeight="1" x14ac:dyDescent="0.85">
      <c r="A167" s="29">
        <f>A166+1</f>
        <v>18</v>
      </c>
      <c r="B167" s="78" t="s">
        <v>160</v>
      </c>
      <c r="C167" s="66" t="s">
        <v>254</v>
      </c>
      <c r="D167" s="60"/>
      <c r="E167" s="60"/>
      <c r="F167" s="60"/>
      <c r="G167" s="60"/>
      <c r="H167" s="60">
        <v>1</v>
      </c>
      <c r="I167" s="60" t="s">
        <v>153</v>
      </c>
      <c r="J167" s="60" t="s">
        <v>25</v>
      </c>
      <c r="K167" s="63"/>
      <c r="L167" s="63"/>
      <c r="M167" s="60" t="s">
        <v>41</v>
      </c>
      <c r="N167" s="64"/>
      <c r="O167" s="64"/>
      <c r="P167" s="64">
        <v>1</v>
      </c>
      <c r="Q167" s="48"/>
      <c r="R167" s="48"/>
      <c r="S167" s="48"/>
    </row>
    <row r="168" spans="1:19" s="54" customFormat="1" ht="30" hidden="1" customHeight="1" x14ac:dyDescent="1.05">
      <c r="A168" s="29">
        <f>A167+1</f>
        <v>19</v>
      </c>
      <c r="B168" s="58" t="s">
        <v>160</v>
      </c>
      <c r="C168" s="41" t="s">
        <v>184</v>
      </c>
      <c r="D168" s="42"/>
      <c r="E168" s="42"/>
      <c r="F168" s="36"/>
      <c r="G168" s="42"/>
      <c r="H168" s="42">
        <v>1</v>
      </c>
      <c r="I168" s="43" t="s">
        <v>185</v>
      </c>
      <c r="J168" s="42" t="s">
        <v>25</v>
      </c>
      <c r="K168" s="42" t="s">
        <v>25</v>
      </c>
      <c r="L168" s="42"/>
      <c r="M168" s="44" t="s">
        <v>40</v>
      </c>
      <c r="N168" s="45"/>
      <c r="O168" s="45"/>
      <c r="P168" s="45">
        <v>1</v>
      </c>
      <c r="Q168" s="48"/>
      <c r="R168" s="48"/>
      <c r="S168" s="48"/>
    </row>
    <row r="169" spans="1:19" s="55" customFormat="1" ht="30" hidden="1" customHeight="1" x14ac:dyDescent="1.05">
      <c r="A169" s="29">
        <v>33</v>
      </c>
      <c r="B169" s="58" t="s">
        <v>259</v>
      </c>
      <c r="C169" s="41" t="s">
        <v>184</v>
      </c>
      <c r="D169" s="42"/>
      <c r="E169" s="42"/>
      <c r="F169" s="36"/>
      <c r="G169" s="42"/>
      <c r="H169" s="42">
        <v>1</v>
      </c>
      <c r="I169" s="43" t="s">
        <v>185</v>
      </c>
      <c r="J169" s="42" t="s">
        <v>25</v>
      </c>
      <c r="K169" s="42" t="s">
        <v>25</v>
      </c>
      <c r="L169" s="42"/>
      <c r="M169" s="44" t="s">
        <v>40</v>
      </c>
      <c r="N169" s="45"/>
      <c r="O169" s="45"/>
      <c r="P169" s="45">
        <v>1</v>
      </c>
      <c r="Q169" s="38"/>
      <c r="R169" s="38"/>
      <c r="S169" s="38"/>
    </row>
    <row r="170" spans="1:19" s="55" customFormat="1" ht="30" hidden="1" customHeight="1" x14ac:dyDescent="0.85">
      <c r="A170" s="29">
        <v>34</v>
      </c>
      <c r="B170" s="58" t="s">
        <v>260</v>
      </c>
      <c r="C170" s="41" t="s">
        <v>184</v>
      </c>
      <c r="D170" s="42"/>
      <c r="E170" s="42"/>
      <c r="F170" s="36"/>
      <c r="G170" s="42"/>
      <c r="H170" s="42">
        <v>1</v>
      </c>
      <c r="I170" s="43" t="s">
        <v>185</v>
      </c>
      <c r="J170" s="42" t="s">
        <v>25</v>
      </c>
      <c r="K170" s="42" t="s">
        <v>25</v>
      </c>
      <c r="L170" s="42"/>
      <c r="M170" s="44" t="s">
        <v>40</v>
      </c>
      <c r="N170" s="45"/>
      <c r="O170" s="45"/>
      <c r="P170" s="45">
        <v>1</v>
      </c>
      <c r="Q170" s="53"/>
      <c r="R170" s="53"/>
      <c r="S170" s="53"/>
    </row>
    <row r="171" spans="1:19" s="55" customFormat="1" ht="30" hidden="1" customHeight="1" x14ac:dyDescent="0.25">
      <c r="A171" s="29">
        <f>A170+1</f>
        <v>35</v>
      </c>
      <c r="B171" s="58" t="s">
        <v>261</v>
      </c>
      <c r="C171" s="41" t="s">
        <v>184</v>
      </c>
      <c r="D171" s="42"/>
      <c r="E171" s="42"/>
      <c r="F171" s="36"/>
      <c r="G171" s="42"/>
      <c r="H171" s="42">
        <v>1</v>
      </c>
      <c r="I171" s="43" t="s">
        <v>185</v>
      </c>
      <c r="J171" s="42" t="s">
        <v>25</v>
      </c>
      <c r="K171" s="42" t="s">
        <v>25</v>
      </c>
      <c r="L171" s="42"/>
      <c r="M171" s="44" t="s">
        <v>40</v>
      </c>
      <c r="N171" s="45"/>
      <c r="O171" s="45"/>
      <c r="P171" s="45">
        <v>1</v>
      </c>
      <c r="Q171" s="68"/>
      <c r="R171" s="68"/>
      <c r="S171" s="68"/>
    </row>
    <row r="172" spans="1:19" s="55" customFormat="1" ht="30" hidden="1" customHeight="1" x14ac:dyDescent="0.25">
      <c r="A172" s="29">
        <v>35</v>
      </c>
      <c r="B172" s="58" t="s">
        <v>262</v>
      </c>
      <c r="C172" s="41" t="s">
        <v>184</v>
      </c>
      <c r="D172" s="42"/>
      <c r="E172" s="42"/>
      <c r="F172" s="36"/>
      <c r="G172" s="42"/>
      <c r="H172" s="42">
        <v>1</v>
      </c>
      <c r="I172" s="43" t="s">
        <v>185</v>
      </c>
      <c r="J172" s="42" t="s">
        <v>25</v>
      </c>
      <c r="K172" s="42" t="s">
        <v>25</v>
      </c>
      <c r="L172" s="42"/>
      <c r="M172" s="44" t="s">
        <v>40</v>
      </c>
      <c r="N172" s="45"/>
      <c r="O172" s="45"/>
      <c r="P172" s="45">
        <v>1</v>
      </c>
      <c r="Q172" s="48"/>
      <c r="R172" s="48"/>
      <c r="S172" s="48"/>
    </row>
    <row r="173" spans="1:19" s="55" customFormat="1" ht="30" hidden="1" customHeight="1" x14ac:dyDescent="0.25">
      <c r="A173" s="29">
        <f>A172+1</f>
        <v>36</v>
      </c>
      <c r="B173" s="58" t="s">
        <v>263</v>
      </c>
      <c r="C173" s="41" t="s">
        <v>184</v>
      </c>
      <c r="D173" s="42"/>
      <c r="E173" s="42"/>
      <c r="F173" s="36"/>
      <c r="G173" s="42"/>
      <c r="H173" s="42">
        <v>1</v>
      </c>
      <c r="I173" s="43" t="s">
        <v>185</v>
      </c>
      <c r="J173" s="42" t="s">
        <v>25</v>
      </c>
      <c r="K173" s="42" t="s">
        <v>25</v>
      </c>
      <c r="L173" s="42"/>
      <c r="M173" s="44" t="s">
        <v>40</v>
      </c>
      <c r="N173" s="45"/>
      <c r="O173" s="45"/>
      <c r="P173" s="45">
        <v>1</v>
      </c>
      <c r="Q173" s="48"/>
      <c r="R173" s="48"/>
      <c r="S173" s="48"/>
    </row>
    <row r="174" spans="1:19" s="55" customFormat="1" ht="30" hidden="1" customHeight="1" x14ac:dyDescent="0.25">
      <c r="A174" s="29">
        <f>A173+1</f>
        <v>37</v>
      </c>
      <c r="B174" s="58" t="s">
        <v>264</v>
      </c>
      <c r="C174" s="41" t="s">
        <v>184</v>
      </c>
      <c r="D174" s="42"/>
      <c r="E174" s="42"/>
      <c r="F174" s="36"/>
      <c r="G174" s="42"/>
      <c r="H174" s="42">
        <v>1</v>
      </c>
      <c r="I174" s="43" t="s">
        <v>185</v>
      </c>
      <c r="J174" s="42" t="s">
        <v>25</v>
      </c>
      <c r="K174" s="42" t="s">
        <v>25</v>
      </c>
      <c r="L174" s="42"/>
      <c r="M174" s="44" t="s">
        <v>40</v>
      </c>
      <c r="N174" s="45"/>
      <c r="O174" s="45"/>
      <c r="P174" s="45">
        <v>1</v>
      </c>
      <c r="Q174" s="68"/>
      <c r="R174" s="68"/>
      <c r="S174" s="68"/>
    </row>
    <row r="175" spans="1:19" s="55" customFormat="1" ht="30" hidden="1" customHeight="1" x14ac:dyDescent="0.25">
      <c r="A175" s="29">
        <f>A174+1</f>
        <v>38</v>
      </c>
      <c r="B175" s="58" t="s">
        <v>265</v>
      </c>
      <c r="C175" s="41" t="s">
        <v>184</v>
      </c>
      <c r="D175" s="42"/>
      <c r="E175" s="42"/>
      <c r="F175" s="36"/>
      <c r="G175" s="42"/>
      <c r="H175" s="42">
        <v>1</v>
      </c>
      <c r="I175" s="43" t="s">
        <v>185</v>
      </c>
      <c r="J175" s="42" t="s">
        <v>25</v>
      </c>
      <c r="K175" s="42" t="s">
        <v>25</v>
      </c>
      <c r="L175" s="42"/>
      <c r="M175" s="44" t="s">
        <v>40</v>
      </c>
      <c r="N175" s="45"/>
      <c r="O175" s="45"/>
      <c r="P175" s="45">
        <v>1</v>
      </c>
      <c r="Q175" s="48"/>
      <c r="R175" s="48"/>
      <c r="S175" s="48"/>
    </row>
    <row r="176" spans="1:19" s="55" customFormat="1" ht="30" hidden="1" customHeight="1" x14ac:dyDescent="0.25">
      <c r="A176" s="29">
        <f>A175+1</f>
        <v>39</v>
      </c>
      <c r="B176" s="58" t="s">
        <v>266</v>
      </c>
      <c r="C176" s="41" t="s">
        <v>184</v>
      </c>
      <c r="D176" s="42"/>
      <c r="E176" s="42"/>
      <c r="F176" s="36"/>
      <c r="G176" s="42"/>
      <c r="H176" s="42">
        <v>1</v>
      </c>
      <c r="I176" s="43" t="s">
        <v>185</v>
      </c>
      <c r="J176" s="42" t="s">
        <v>25</v>
      </c>
      <c r="K176" s="42" t="s">
        <v>25</v>
      </c>
      <c r="L176" s="42"/>
      <c r="M176" s="44" t="s">
        <v>40</v>
      </c>
      <c r="N176" s="45"/>
      <c r="O176" s="45"/>
      <c r="P176" s="45">
        <v>1</v>
      </c>
      <c r="Q176" s="48"/>
      <c r="R176" s="48"/>
      <c r="S176" s="48"/>
    </row>
    <row r="177" spans="1:19" s="65" customFormat="1" ht="28.5" customHeight="1" x14ac:dyDescent="0.85">
      <c r="A177" s="40"/>
      <c r="B177" s="30" t="s">
        <v>267</v>
      </c>
      <c r="C177" s="41" t="s">
        <v>149</v>
      </c>
      <c r="D177" s="32"/>
      <c r="E177" s="32"/>
      <c r="F177" s="33"/>
      <c r="G177" s="33"/>
      <c r="H177" s="35">
        <v>1</v>
      </c>
      <c r="I177" s="35" t="s">
        <v>61</v>
      </c>
      <c r="J177" s="32" t="s">
        <v>19</v>
      </c>
      <c r="K177" s="32"/>
      <c r="L177" s="61"/>
      <c r="M177" s="44" t="s">
        <v>26</v>
      </c>
      <c r="N177" s="45"/>
      <c r="O177" s="45"/>
      <c r="P177" s="45">
        <v>1</v>
      </c>
      <c r="Q177" s="46"/>
      <c r="R177" s="46"/>
      <c r="S177" s="46"/>
    </row>
    <row r="178" spans="1:19" ht="30" customHeight="1" x14ac:dyDescent="1.05">
      <c r="A178" s="29">
        <f>A177+1</f>
        <v>1</v>
      </c>
      <c r="B178" s="47" t="s">
        <v>268</v>
      </c>
      <c r="C178" s="67" t="s">
        <v>269</v>
      </c>
      <c r="D178" s="42"/>
      <c r="E178" s="42"/>
      <c r="F178" s="36"/>
      <c r="G178" s="42"/>
      <c r="H178" s="99">
        <v>1</v>
      </c>
      <c r="I178" s="60" t="s">
        <v>24</v>
      </c>
      <c r="J178" s="42"/>
      <c r="K178" s="42"/>
      <c r="L178" s="42"/>
      <c r="M178" s="60" t="s">
        <v>26</v>
      </c>
      <c r="N178" s="102"/>
      <c r="O178" s="102"/>
      <c r="P178" s="102">
        <v>1</v>
      </c>
      <c r="Q178" s="38"/>
      <c r="R178" s="38"/>
      <c r="S178" s="38"/>
    </row>
    <row r="179" spans="1:19" ht="30" customHeight="1" x14ac:dyDescent="1.05">
      <c r="A179" s="29">
        <f>A178+1</f>
        <v>2</v>
      </c>
      <c r="B179" s="47" t="s">
        <v>270</v>
      </c>
      <c r="C179" s="67" t="s">
        <v>269</v>
      </c>
      <c r="D179" s="42"/>
      <c r="E179" s="42"/>
      <c r="F179" s="36"/>
      <c r="G179" s="42"/>
      <c r="H179" s="99">
        <v>1</v>
      </c>
      <c r="I179" s="60" t="s">
        <v>24</v>
      </c>
      <c r="J179" s="42"/>
      <c r="K179" s="42"/>
      <c r="L179" s="42"/>
      <c r="M179" s="60" t="s">
        <v>26</v>
      </c>
      <c r="N179" s="102"/>
      <c r="O179" s="102"/>
      <c r="P179" s="102">
        <v>1</v>
      </c>
      <c r="Q179" s="38"/>
      <c r="R179" s="38"/>
      <c r="S179" s="38"/>
    </row>
    <row r="180" spans="1:19" ht="30" customHeight="1" x14ac:dyDescent="1.05">
      <c r="A180" s="29">
        <f>A179+1</f>
        <v>3</v>
      </c>
      <c r="B180" s="47" t="s">
        <v>271</v>
      </c>
      <c r="C180" s="67" t="s">
        <v>269</v>
      </c>
      <c r="D180" s="60"/>
      <c r="E180" s="60"/>
      <c r="F180" s="60"/>
      <c r="G180" s="60"/>
      <c r="H180" s="99">
        <v>1</v>
      </c>
      <c r="I180" s="60" t="s">
        <v>24</v>
      </c>
      <c r="J180" s="60"/>
      <c r="K180" s="63"/>
      <c r="L180" s="63"/>
      <c r="M180" s="60" t="s">
        <v>26</v>
      </c>
      <c r="N180" s="37"/>
      <c r="O180" s="37"/>
      <c r="P180" s="37">
        <v>1</v>
      </c>
      <c r="Q180" s="38"/>
      <c r="R180" s="38"/>
      <c r="S180" s="38"/>
    </row>
    <row r="181" spans="1:19" s="54" customFormat="1" ht="30" customHeight="1" x14ac:dyDescent="1.05">
      <c r="A181" s="29">
        <f>A180+1</f>
        <v>4</v>
      </c>
      <c r="B181" s="47" t="s">
        <v>272</v>
      </c>
      <c r="C181" s="67" t="s">
        <v>269</v>
      </c>
      <c r="D181" s="77"/>
      <c r="E181" s="103"/>
      <c r="F181" s="77"/>
      <c r="G181" s="77"/>
      <c r="H181" s="77">
        <v>1</v>
      </c>
      <c r="I181" s="42" t="s">
        <v>24</v>
      </c>
      <c r="J181" s="77" t="s">
        <v>25</v>
      </c>
      <c r="K181" s="104"/>
      <c r="L181" s="104"/>
      <c r="M181" s="77" t="s">
        <v>26</v>
      </c>
      <c r="N181" s="102"/>
      <c r="O181" s="102"/>
      <c r="P181" s="102">
        <v>1</v>
      </c>
      <c r="Q181" s="46"/>
      <c r="R181" s="46"/>
      <c r="S181" s="46"/>
    </row>
    <row r="182" spans="1:19" ht="30" hidden="1" customHeight="1" x14ac:dyDescent="1.05">
      <c r="A182" s="29">
        <v>38</v>
      </c>
      <c r="B182" s="47" t="s">
        <v>273</v>
      </c>
      <c r="C182" s="41" t="s">
        <v>184</v>
      </c>
      <c r="D182" s="49"/>
      <c r="E182" s="50"/>
      <c r="F182" s="49"/>
      <c r="G182" s="49"/>
      <c r="H182" s="49">
        <v>1</v>
      </c>
      <c r="I182" s="49" t="s">
        <v>185</v>
      </c>
      <c r="J182" s="49" t="s">
        <v>25</v>
      </c>
      <c r="K182" s="51">
        <v>46159</v>
      </c>
      <c r="L182" s="51"/>
      <c r="M182" s="62" t="s">
        <v>44</v>
      </c>
      <c r="N182" s="37"/>
      <c r="O182" s="37"/>
      <c r="P182" s="37">
        <v>1</v>
      </c>
      <c r="Q182" s="38"/>
      <c r="R182" s="38"/>
      <c r="S182" s="38"/>
    </row>
    <row r="183" spans="1:19" s="54" customFormat="1" ht="30" hidden="1" customHeight="1" x14ac:dyDescent="1.05">
      <c r="A183" s="29">
        <v>39</v>
      </c>
      <c r="B183" s="47" t="s">
        <v>274</v>
      </c>
      <c r="C183" s="41" t="s">
        <v>184</v>
      </c>
      <c r="D183" s="49"/>
      <c r="E183" s="50"/>
      <c r="F183" s="49"/>
      <c r="G183" s="49"/>
      <c r="H183" s="49">
        <v>1</v>
      </c>
      <c r="I183" s="49" t="s">
        <v>185</v>
      </c>
      <c r="J183" s="49" t="s">
        <v>25</v>
      </c>
      <c r="K183" s="51">
        <v>46159</v>
      </c>
      <c r="L183" s="51"/>
      <c r="M183" s="62" t="s">
        <v>44</v>
      </c>
      <c r="N183" s="56"/>
      <c r="O183" s="56"/>
      <c r="P183" s="57">
        <v>1</v>
      </c>
      <c r="Q183" s="38"/>
      <c r="R183" s="38"/>
      <c r="S183" s="38"/>
    </row>
    <row r="184" spans="1:19" s="54" customFormat="1" ht="30" hidden="1" customHeight="1" x14ac:dyDescent="1.05">
      <c r="A184" s="29">
        <f>A183+1</f>
        <v>40</v>
      </c>
      <c r="B184" s="58" t="s">
        <v>275</v>
      </c>
      <c r="C184" s="41" t="s">
        <v>184</v>
      </c>
      <c r="D184" s="49"/>
      <c r="E184" s="50"/>
      <c r="F184" s="49"/>
      <c r="G184" s="49"/>
      <c r="H184" s="49">
        <v>1</v>
      </c>
      <c r="I184" s="49" t="s">
        <v>185</v>
      </c>
      <c r="J184" s="49" t="s">
        <v>25</v>
      </c>
      <c r="K184" s="51">
        <v>46159</v>
      </c>
      <c r="L184" s="51"/>
      <c r="M184" s="62" t="s">
        <v>44</v>
      </c>
      <c r="N184" s="37" t="s">
        <v>276</v>
      </c>
      <c r="O184" s="37"/>
      <c r="P184" s="37">
        <v>1</v>
      </c>
      <c r="Q184" s="46"/>
      <c r="R184" s="46"/>
      <c r="S184" s="46"/>
    </row>
    <row r="185" spans="1:19" s="55" customFormat="1" ht="30" hidden="1" customHeight="1" x14ac:dyDescent="1.05">
      <c r="A185" s="29">
        <f>A184+1</f>
        <v>41</v>
      </c>
      <c r="B185" s="47" t="s">
        <v>277</v>
      </c>
      <c r="C185" s="41" t="s">
        <v>184</v>
      </c>
      <c r="D185" s="49"/>
      <c r="E185" s="50"/>
      <c r="F185" s="49"/>
      <c r="G185" s="49"/>
      <c r="H185" s="49">
        <v>1</v>
      </c>
      <c r="I185" s="49" t="s">
        <v>185</v>
      </c>
      <c r="J185" s="49" t="s">
        <v>25</v>
      </c>
      <c r="K185" s="51">
        <v>46159</v>
      </c>
      <c r="L185" s="51"/>
      <c r="M185" s="62" t="s">
        <v>44</v>
      </c>
      <c r="N185" s="37"/>
      <c r="O185" s="37"/>
      <c r="P185" s="37">
        <v>1</v>
      </c>
      <c r="Q185" s="53"/>
      <c r="R185" s="53"/>
      <c r="S185" s="53"/>
    </row>
    <row r="186" spans="1:19" s="54" customFormat="1" ht="30" hidden="1" customHeight="1" x14ac:dyDescent="1.05">
      <c r="A186" s="29">
        <f>A185+1</f>
        <v>42</v>
      </c>
      <c r="B186" s="47" t="s">
        <v>278</v>
      </c>
      <c r="C186" s="41" t="s">
        <v>184</v>
      </c>
      <c r="D186" s="49"/>
      <c r="E186" s="50"/>
      <c r="F186" s="49"/>
      <c r="G186" s="49"/>
      <c r="H186" s="49">
        <v>1</v>
      </c>
      <c r="I186" s="49" t="s">
        <v>185</v>
      </c>
      <c r="J186" s="49" t="s">
        <v>25</v>
      </c>
      <c r="K186" s="51">
        <v>46159</v>
      </c>
      <c r="L186" s="51"/>
      <c r="M186" s="62" t="s">
        <v>44</v>
      </c>
      <c r="N186" s="37"/>
      <c r="O186" s="37"/>
      <c r="P186" s="37">
        <v>1</v>
      </c>
      <c r="Q186" s="46"/>
      <c r="R186" s="46"/>
      <c r="S186" s="46"/>
    </row>
    <row r="187" spans="1:19" s="54" customFormat="1" ht="30" hidden="1" customHeight="1" x14ac:dyDescent="1.05">
      <c r="A187" s="29">
        <f>A186+1</f>
        <v>43</v>
      </c>
      <c r="B187" s="47" t="s">
        <v>279</v>
      </c>
      <c r="C187" s="41" t="s">
        <v>184</v>
      </c>
      <c r="D187" s="49"/>
      <c r="E187" s="50"/>
      <c r="F187" s="49"/>
      <c r="G187" s="49"/>
      <c r="H187" s="49">
        <v>1</v>
      </c>
      <c r="I187" s="49" t="s">
        <v>185</v>
      </c>
      <c r="J187" s="49" t="s">
        <v>25</v>
      </c>
      <c r="K187" s="51">
        <v>46159</v>
      </c>
      <c r="L187" s="51"/>
      <c r="M187" s="62" t="s">
        <v>44</v>
      </c>
      <c r="N187" s="37"/>
      <c r="O187" s="37"/>
      <c r="P187" s="37">
        <v>1</v>
      </c>
      <c r="Q187" s="53"/>
      <c r="R187" s="53"/>
      <c r="S187" s="53"/>
    </row>
    <row r="188" spans="1:19" s="55" customFormat="1" ht="30" hidden="1" customHeight="1" x14ac:dyDescent="1.05">
      <c r="A188" s="29">
        <v>36</v>
      </c>
      <c r="B188" s="58" t="s">
        <v>280</v>
      </c>
      <c r="C188" s="41" t="s">
        <v>184</v>
      </c>
      <c r="D188" s="32"/>
      <c r="E188" s="32"/>
      <c r="F188" s="33"/>
      <c r="G188" s="33"/>
      <c r="H188" s="35">
        <v>1</v>
      </c>
      <c r="I188" s="35" t="s">
        <v>185</v>
      </c>
      <c r="J188" s="32" t="s">
        <v>19</v>
      </c>
      <c r="K188" s="32" t="s">
        <v>20</v>
      </c>
      <c r="L188" s="32"/>
      <c r="M188" s="36" t="s">
        <v>21</v>
      </c>
      <c r="N188" s="37"/>
      <c r="O188" s="37"/>
      <c r="P188" s="37">
        <v>1</v>
      </c>
      <c r="Q188" s="48"/>
      <c r="R188" s="48"/>
      <c r="S188" s="48"/>
    </row>
    <row r="189" spans="1:19" ht="30" hidden="1" customHeight="1" x14ac:dyDescent="1.05">
      <c r="A189" s="29">
        <v>37</v>
      </c>
      <c r="B189" s="58" t="s">
        <v>281</v>
      </c>
      <c r="C189" s="41" t="s">
        <v>184</v>
      </c>
      <c r="D189" s="32"/>
      <c r="E189" s="32"/>
      <c r="F189" s="33"/>
      <c r="G189" s="33"/>
      <c r="H189" s="35">
        <v>1</v>
      </c>
      <c r="I189" s="35" t="s">
        <v>185</v>
      </c>
      <c r="J189" s="32" t="s">
        <v>19</v>
      </c>
      <c r="K189" s="32" t="s">
        <v>20</v>
      </c>
      <c r="L189" s="32"/>
      <c r="M189" s="36" t="s">
        <v>21</v>
      </c>
      <c r="N189" s="37"/>
      <c r="O189" s="37"/>
      <c r="P189" s="37">
        <v>1</v>
      </c>
    </row>
    <row r="190" spans="1:19" ht="30" hidden="1" customHeight="1" x14ac:dyDescent="1.05">
      <c r="A190" s="29">
        <f>A189+1</f>
        <v>38</v>
      </c>
      <c r="B190" s="58" t="s">
        <v>282</v>
      </c>
      <c r="C190" s="41" t="s">
        <v>184</v>
      </c>
      <c r="D190" s="32"/>
      <c r="E190" s="32"/>
      <c r="F190" s="33"/>
      <c r="G190" s="33"/>
      <c r="H190" s="35">
        <v>1</v>
      </c>
      <c r="I190" s="35" t="s">
        <v>185</v>
      </c>
      <c r="J190" s="32" t="s">
        <v>19</v>
      </c>
      <c r="K190" s="32" t="s">
        <v>20</v>
      </c>
      <c r="L190" s="32"/>
      <c r="M190" s="36" t="s">
        <v>21</v>
      </c>
      <c r="N190" s="37"/>
      <c r="O190" s="37"/>
      <c r="P190" s="37">
        <v>1</v>
      </c>
      <c r="Q190" s="48"/>
      <c r="R190" s="48"/>
      <c r="S190" s="48"/>
    </row>
    <row r="191" spans="1:19" ht="30" hidden="1" customHeight="1" x14ac:dyDescent="1.05">
      <c r="A191" s="29">
        <f>A190+1</f>
        <v>39</v>
      </c>
      <c r="B191" s="58" t="s">
        <v>283</v>
      </c>
      <c r="C191" s="41" t="s">
        <v>184</v>
      </c>
      <c r="D191" s="32"/>
      <c r="E191" s="32"/>
      <c r="F191" s="33"/>
      <c r="G191" s="33"/>
      <c r="H191" s="35">
        <v>1</v>
      </c>
      <c r="I191" s="35" t="s">
        <v>185</v>
      </c>
      <c r="J191" s="32" t="s">
        <v>19</v>
      </c>
      <c r="K191" s="32" t="s">
        <v>20</v>
      </c>
      <c r="L191" s="32"/>
      <c r="M191" s="36" t="s">
        <v>21</v>
      </c>
      <c r="N191" s="37"/>
      <c r="O191" s="37"/>
      <c r="P191" s="37">
        <v>1</v>
      </c>
    </row>
    <row r="192" spans="1:19" s="55" customFormat="1" ht="30" hidden="1" customHeight="1" x14ac:dyDescent="1.05">
      <c r="A192" s="29">
        <f>A191+1</f>
        <v>40</v>
      </c>
      <c r="B192" s="58" t="s">
        <v>284</v>
      </c>
      <c r="C192" s="41" t="s">
        <v>184</v>
      </c>
      <c r="D192" s="32"/>
      <c r="E192" s="32"/>
      <c r="F192" s="33"/>
      <c r="G192" s="33"/>
      <c r="H192" s="35">
        <v>1</v>
      </c>
      <c r="I192" s="35" t="s">
        <v>185</v>
      </c>
      <c r="J192" s="32" t="s">
        <v>19</v>
      </c>
      <c r="K192" s="32" t="s">
        <v>20</v>
      </c>
      <c r="L192" s="32"/>
      <c r="M192" s="36" t="s">
        <v>21</v>
      </c>
      <c r="N192" s="37"/>
      <c r="O192" s="37"/>
      <c r="P192" s="37">
        <v>1</v>
      </c>
      <c r="Q192" s="53"/>
      <c r="R192" s="53"/>
      <c r="S192" s="53"/>
    </row>
    <row r="193" spans="1:19" ht="30" hidden="1" customHeight="1" x14ac:dyDescent="0.85">
      <c r="A193" s="29">
        <f>A192+1</f>
        <v>41</v>
      </c>
      <c r="B193" s="47" t="s">
        <v>285</v>
      </c>
      <c r="C193" s="41" t="s">
        <v>184</v>
      </c>
      <c r="D193" s="42"/>
      <c r="E193" s="42"/>
      <c r="F193" s="36"/>
      <c r="G193" s="42"/>
      <c r="H193" s="42">
        <v>1</v>
      </c>
      <c r="I193" s="43" t="s">
        <v>185</v>
      </c>
      <c r="J193" s="42" t="s">
        <v>25</v>
      </c>
      <c r="K193" s="42" t="s">
        <v>25</v>
      </c>
      <c r="L193" s="42"/>
      <c r="M193" s="60" t="s">
        <v>41</v>
      </c>
      <c r="N193" s="56"/>
      <c r="O193" s="56"/>
      <c r="P193" s="57">
        <v>1</v>
      </c>
      <c r="Q193" s="53"/>
      <c r="R193" s="53"/>
      <c r="S193" s="53"/>
    </row>
    <row r="194" spans="1:19" ht="30" hidden="1" customHeight="1" x14ac:dyDescent="0.85">
      <c r="A194" s="29">
        <v>40</v>
      </c>
      <c r="B194" s="47" t="s">
        <v>286</v>
      </c>
      <c r="C194" s="41" t="s">
        <v>184</v>
      </c>
      <c r="D194" s="42"/>
      <c r="E194" s="42"/>
      <c r="F194" s="36"/>
      <c r="G194" s="42"/>
      <c r="H194" s="42">
        <v>1</v>
      </c>
      <c r="I194" s="43" t="s">
        <v>185</v>
      </c>
      <c r="J194" s="42" t="s">
        <v>25</v>
      </c>
      <c r="K194" s="42" t="s">
        <v>25</v>
      </c>
      <c r="L194" s="42"/>
      <c r="M194" s="60" t="s">
        <v>41</v>
      </c>
      <c r="N194" s="56"/>
      <c r="O194" s="56"/>
      <c r="P194" s="57">
        <v>1</v>
      </c>
      <c r="Q194" s="53"/>
      <c r="R194" s="53"/>
      <c r="S194" s="53"/>
    </row>
    <row r="195" spans="1:19" ht="30" hidden="1" customHeight="1" x14ac:dyDescent="0.85">
      <c r="A195" s="29">
        <f>A194+1</f>
        <v>41</v>
      </c>
      <c r="B195" s="47" t="s">
        <v>275</v>
      </c>
      <c r="C195" s="41" t="s">
        <v>184</v>
      </c>
      <c r="D195" s="42"/>
      <c r="E195" s="42"/>
      <c r="F195" s="36"/>
      <c r="G195" s="42"/>
      <c r="H195" s="42">
        <v>1</v>
      </c>
      <c r="I195" s="43" t="s">
        <v>185</v>
      </c>
      <c r="J195" s="42" t="s">
        <v>25</v>
      </c>
      <c r="K195" s="42" t="s">
        <v>25</v>
      </c>
      <c r="L195" s="42"/>
      <c r="M195" s="60" t="s">
        <v>41</v>
      </c>
      <c r="N195" s="56"/>
      <c r="O195" s="56"/>
      <c r="P195" s="57">
        <v>1</v>
      </c>
      <c r="Q195" s="48"/>
      <c r="R195" s="48"/>
      <c r="S195" s="48"/>
    </row>
    <row r="196" spans="1:19" ht="30" hidden="1" customHeight="1" x14ac:dyDescent="0.85">
      <c r="A196" s="29">
        <f>A191+1</f>
        <v>40</v>
      </c>
      <c r="B196" s="47" t="s">
        <v>287</v>
      </c>
      <c r="C196" s="41" t="s">
        <v>184</v>
      </c>
      <c r="D196" s="42"/>
      <c r="E196" s="42"/>
      <c r="F196" s="36"/>
      <c r="G196" s="42"/>
      <c r="H196" s="42">
        <v>1</v>
      </c>
      <c r="I196" s="43" t="s">
        <v>185</v>
      </c>
      <c r="J196" s="42" t="s">
        <v>25</v>
      </c>
      <c r="K196" s="42" t="s">
        <v>25</v>
      </c>
      <c r="L196" s="42"/>
      <c r="M196" s="60" t="s">
        <v>41</v>
      </c>
      <c r="N196" s="56"/>
      <c r="O196" s="56"/>
      <c r="P196" s="57">
        <v>1</v>
      </c>
    </row>
    <row r="197" spans="1:19" s="54" customFormat="1" ht="30" hidden="1" customHeight="1" x14ac:dyDescent="1.05">
      <c r="A197" s="29">
        <f t="shared" ref="A197:A219" si="3">A196+1</f>
        <v>41</v>
      </c>
      <c r="B197" s="47" t="s">
        <v>288</v>
      </c>
      <c r="C197" s="41" t="s">
        <v>184</v>
      </c>
      <c r="D197" s="42"/>
      <c r="E197" s="42"/>
      <c r="F197" s="36"/>
      <c r="G197" s="42"/>
      <c r="H197" s="42">
        <v>1</v>
      </c>
      <c r="I197" s="43" t="s">
        <v>185</v>
      </c>
      <c r="J197" s="42" t="s">
        <v>25</v>
      </c>
      <c r="K197" s="42" t="s">
        <v>25</v>
      </c>
      <c r="L197" s="42"/>
      <c r="M197" s="60" t="s">
        <v>41</v>
      </c>
      <c r="N197" s="56"/>
      <c r="O197" s="56"/>
      <c r="P197" s="57">
        <v>1</v>
      </c>
      <c r="Q197" s="46"/>
      <c r="R197" s="46"/>
      <c r="S197" s="46"/>
    </row>
    <row r="198" spans="1:19" s="54" customFormat="1" ht="30" hidden="1" customHeight="1" x14ac:dyDescent="1.05">
      <c r="A198" s="29">
        <f t="shared" si="3"/>
        <v>42</v>
      </c>
      <c r="B198" s="58"/>
      <c r="C198" s="41" t="s">
        <v>289</v>
      </c>
      <c r="D198" s="42"/>
      <c r="E198" s="42"/>
      <c r="F198" s="36"/>
      <c r="G198" s="42"/>
      <c r="H198" s="42">
        <v>2</v>
      </c>
      <c r="I198" s="43" t="s">
        <v>185</v>
      </c>
      <c r="J198" s="42" t="s">
        <v>25</v>
      </c>
      <c r="K198" s="42" t="s">
        <v>25</v>
      </c>
      <c r="L198" s="42"/>
      <c r="M198" s="44" t="s">
        <v>40</v>
      </c>
      <c r="N198" s="45"/>
      <c r="O198" s="45"/>
      <c r="P198" s="45">
        <v>1</v>
      </c>
      <c r="Q198" s="46"/>
      <c r="R198" s="46"/>
      <c r="S198" s="46"/>
    </row>
    <row r="199" spans="1:19" s="54" customFormat="1" ht="30" hidden="1" customHeight="1" x14ac:dyDescent="1.05">
      <c r="A199" s="29">
        <f t="shared" si="3"/>
        <v>43</v>
      </c>
      <c r="B199" s="78"/>
      <c r="C199" s="66" t="s">
        <v>289</v>
      </c>
      <c r="D199" s="49"/>
      <c r="E199" s="50"/>
      <c r="F199" s="49"/>
      <c r="G199" s="49"/>
      <c r="H199" s="49">
        <v>2</v>
      </c>
      <c r="I199" s="49" t="s">
        <v>185</v>
      </c>
      <c r="J199" s="49" t="s">
        <v>25</v>
      </c>
      <c r="K199" s="51">
        <v>46163</v>
      </c>
      <c r="L199" s="51"/>
      <c r="M199" s="62" t="s">
        <v>44</v>
      </c>
      <c r="N199" s="56"/>
      <c r="O199" s="56"/>
      <c r="P199" s="57">
        <v>1</v>
      </c>
      <c r="Q199" s="38"/>
      <c r="R199" s="38"/>
      <c r="S199" s="38"/>
    </row>
    <row r="200" spans="1:19" s="54" customFormat="1" ht="30" hidden="1" customHeight="1" x14ac:dyDescent="1.05">
      <c r="A200" s="29">
        <f t="shared" si="3"/>
        <v>44</v>
      </c>
      <c r="B200" s="78" t="s">
        <v>251</v>
      </c>
      <c r="C200" s="66" t="s">
        <v>289</v>
      </c>
      <c r="D200" s="49"/>
      <c r="E200" s="50"/>
      <c r="F200" s="49"/>
      <c r="G200" s="49"/>
      <c r="H200" s="49">
        <v>1</v>
      </c>
      <c r="I200" s="49" t="s">
        <v>185</v>
      </c>
      <c r="J200" s="49" t="s">
        <v>25</v>
      </c>
      <c r="K200" s="51">
        <v>46157</v>
      </c>
      <c r="L200" s="51"/>
      <c r="M200" s="62" t="s">
        <v>44</v>
      </c>
      <c r="N200" s="56"/>
      <c r="O200" s="56"/>
      <c r="P200" s="57">
        <v>1</v>
      </c>
      <c r="Q200" s="38"/>
      <c r="R200" s="38"/>
      <c r="S200" s="38"/>
    </row>
    <row r="201" spans="1:19" ht="30" hidden="1" customHeight="1" x14ac:dyDescent="1.05">
      <c r="A201" s="29">
        <f t="shared" si="3"/>
        <v>45</v>
      </c>
      <c r="B201" s="58"/>
      <c r="C201" s="41" t="s">
        <v>289</v>
      </c>
      <c r="D201" s="32"/>
      <c r="E201" s="32"/>
      <c r="F201" s="33"/>
      <c r="G201" s="33"/>
      <c r="H201" s="35">
        <v>1</v>
      </c>
      <c r="I201" s="35" t="s">
        <v>185</v>
      </c>
      <c r="J201" s="32" t="s">
        <v>19</v>
      </c>
      <c r="K201" s="32" t="s">
        <v>20</v>
      </c>
      <c r="L201" s="32"/>
      <c r="M201" s="36" t="s">
        <v>33</v>
      </c>
      <c r="N201" s="56"/>
      <c r="O201" s="56"/>
      <c r="P201" s="57">
        <v>1</v>
      </c>
      <c r="Q201" s="38"/>
      <c r="R201" s="38"/>
      <c r="S201" s="38"/>
    </row>
    <row r="202" spans="1:19" s="54" customFormat="1" ht="30" hidden="1" customHeight="1" x14ac:dyDescent="1.05">
      <c r="A202" s="29">
        <f t="shared" si="3"/>
        <v>46</v>
      </c>
      <c r="B202" s="58"/>
      <c r="C202" s="41" t="s">
        <v>289</v>
      </c>
      <c r="D202" s="32"/>
      <c r="E202" s="32"/>
      <c r="F202" s="33"/>
      <c r="G202" s="33"/>
      <c r="H202" s="35">
        <v>1</v>
      </c>
      <c r="I202" s="35" t="s">
        <v>185</v>
      </c>
      <c r="J202" s="32" t="s">
        <v>19</v>
      </c>
      <c r="K202" s="32" t="s">
        <v>20</v>
      </c>
      <c r="L202" s="32"/>
      <c r="M202" s="36" t="s">
        <v>33</v>
      </c>
      <c r="N202" s="56"/>
      <c r="O202" s="56"/>
      <c r="P202" s="57">
        <v>1</v>
      </c>
      <c r="Q202" s="38"/>
      <c r="R202" s="38"/>
      <c r="S202" s="38"/>
    </row>
    <row r="203" spans="1:19" s="55" customFormat="1" ht="30" hidden="1" customHeight="1" x14ac:dyDescent="1.05">
      <c r="A203" s="29">
        <f t="shared" si="3"/>
        <v>47</v>
      </c>
      <c r="B203" s="58"/>
      <c r="C203" s="41" t="s">
        <v>289</v>
      </c>
      <c r="D203" s="32"/>
      <c r="E203" s="32"/>
      <c r="F203" s="33"/>
      <c r="G203" s="33"/>
      <c r="H203" s="35">
        <v>1</v>
      </c>
      <c r="I203" s="35" t="s">
        <v>185</v>
      </c>
      <c r="J203" s="32" t="s">
        <v>19</v>
      </c>
      <c r="K203" s="32" t="s">
        <v>20</v>
      </c>
      <c r="L203" s="32"/>
      <c r="M203" s="36" t="s">
        <v>21</v>
      </c>
      <c r="N203" s="37"/>
      <c r="O203" s="37"/>
      <c r="P203" s="37">
        <v>1</v>
      </c>
      <c r="Q203" s="48"/>
      <c r="R203" s="48"/>
      <c r="S203" s="48"/>
    </row>
    <row r="204" spans="1:19" s="65" customFormat="1" ht="28.5" hidden="1" customHeight="1" x14ac:dyDescent="0.85">
      <c r="A204" s="29">
        <f t="shared" si="3"/>
        <v>48</v>
      </c>
      <c r="B204" s="78"/>
      <c r="C204" s="66" t="s">
        <v>289</v>
      </c>
      <c r="D204" s="60"/>
      <c r="E204" s="60"/>
      <c r="F204" s="60"/>
      <c r="G204" s="60"/>
      <c r="H204" s="60">
        <v>1</v>
      </c>
      <c r="I204" s="60" t="s">
        <v>185</v>
      </c>
      <c r="J204" s="60" t="s">
        <v>25</v>
      </c>
      <c r="K204" s="63"/>
      <c r="L204" s="63"/>
      <c r="M204" s="60" t="s">
        <v>41</v>
      </c>
      <c r="N204" s="64"/>
      <c r="O204" s="64"/>
      <c r="P204" s="64">
        <v>1</v>
      </c>
      <c r="Q204" s="48"/>
      <c r="R204" s="48"/>
      <c r="S204" s="48"/>
    </row>
    <row r="205" spans="1:19" ht="30" hidden="1" customHeight="1" x14ac:dyDescent="0.85">
      <c r="A205" s="29">
        <f t="shared" si="3"/>
        <v>49</v>
      </c>
      <c r="B205" s="78"/>
      <c r="C205" s="66" t="s">
        <v>289</v>
      </c>
      <c r="D205" s="60"/>
      <c r="E205" s="60"/>
      <c r="F205" s="60"/>
      <c r="G205" s="60"/>
      <c r="H205" s="60">
        <v>1</v>
      </c>
      <c r="I205" s="60" t="s">
        <v>185</v>
      </c>
      <c r="J205" s="60" t="s">
        <v>25</v>
      </c>
      <c r="K205" s="63"/>
      <c r="L205" s="63"/>
      <c r="M205" s="60" t="s">
        <v>41</v>
      </c>
      <c r="N205" s="64"/>
      <c r="O205" s="64"/>
      <c r="P205" s="64">
        <v>1</v>
      </c>
      <c r="Q205" s="48"/>
      <c r="R205" s="48"/>
      <c r="S205" s="48"/>
    </row>
    <row r="206" spans="1:19" ht="30" hidden="1" customHeight="1" x14ac:dyDescent="1.05">
      <c r="A206" s="29">
        <f t="shared" si="3"/>
        <v>50</v>
      </c>
      <c r="B206" s="30"/>
      <c r="C206" s="31" t="s">
        <v>290</v>
      </c>
      <c r="D206" s="59"/>
      <c r="E206" s="59"/>
      <c r="F206" s="105" t="s">
        <v>291</v>
      </c>
      <c r="G206" s="59"/>
      <c r="H206" s="76">
        <v>1</v>
      </c>
      <c r="I206" s="59" t="s">
        <v>18</v>
      </c>
      <c r="J206" s="42" t="s">
        <v>25</v>
      </c>
      <c r="K206" s="42" t="s">
        <v>25</v>
      </c>
      <c r="L206" s="42"/>
      <c r="M206" s="94" t="s">
        <v>40</v>
      </c>
      <c r="N206" s="37" t="s">
        <v>292</v>
      </c>
      <c r="O206" s="37"/>
      <c r="P206" s="37">
        <v>1</v>
      </c>
      <c r="Q206" s="48"/>
      <c r="R206" s="48"/>
      <c r="S206" s="48"/>
    </row>
    <row r="207" spans="1:19" ht="30" hidden="1" customHeight="1" x14ac:dyDescent="1.05">
      <c r="A207" s="29">
        <f t="shared" si="3"/>
        <v>51</v>
      </c>
      <c r="B207" s="30"/>
      <c r="C207" s="31" t="s">
        <v>290</v>
      </c>
      <c r="D207" s="59"/>
      <c r="E207" s="59"/>
      <c r="F207" s="105" t="s">
        <v>291</v>
      </c>
      <c r="G207" s="59"/>
      <c r="H207" s="76">
        <v>2</v>
      </c>
      <c r="I207" s="59" t="s">
        <v>18</v>
      </c>
      <c r="J207" s="42" t="s">
        <v>25</v>
      </c>
      <c r="K207" s="42" t="s">
        <v>25</v>
      </c>
      <c r="L207" s="42"/>
      <c r="M207" s="94" t="s">
        <v>40</v>
      </c>
      <c r="N207" s="45"/>
      <c r="O207" s="45"/>
      <c r="P207" s="45">
        <v>1</v>
      </c>
      <c r="Q207" s="38"/>
      <c r="R207" s="38"/>
      <c r="S207" s="38"/>
    </row>
    <row r="208" spans="1:19" ht="30" hidden="1" customHeight="1" x14ac:dyDescent="0.85">
      <c r="A208" s="29">
        <f t="shared" si="3"/>
        <v>52</v>
      </c>
      <c r="B208" s="30"/>
      <c r="C208" s="31" t="s">
        <v>290</v>
      </c>
      <c r="D208" s="59"/>
      <c r="E208" s="59"/>
      <c r="F208" s="105" t="s">
        <v>291</v>
      </c>
      <c r="G208" s="59"/>
      <c r="H208" s="76">
        <v>19</v>
      </c>
      <c r="I208" s="59" t="s">
        <v>18</v>
      </c>
      <c r="J208" s="42" t="s">
        <v>25</v>
      </c>
      <c r="K208" s="42" t="s">
        <v>25</v>
      </c>
      <c r="L208" s="42"/>
      <c r="M208" s="62" t="s">
        <v>44</v>
      </c>
      <c r="N208" s="64"/>
      <c r="O208" s="64"/>
      <c r="P208" s="64">
        <v>1</v>
      </c>
      <c r="Q208" s="53"/>
      <c r="R208" s="53"/>
      <c r="S208" s="53"/>
    </row>
    <row r="209" spans="1:19" ht="30" hidden="1" customHeight="1" x14ac:dyDescent="0.25">
      <c r="A209" s="29">
        <f t="shared" si="3"/>
        <v>53</v>
      </c>
      <c r="B209" s="30"/>
      <c r="C209" s="31" t="s">
        <v>290</v>
      </c>
      <c r="D209" s="59"/>
      <c r="E209" s="59"/>
      <c r="F209" s="105" t="s">
        <v>291</v>
      </c>
      <c r="G209" s="59"/>
      <c r="H209" s="76">
        <v>9</v>
      </c>
      <c r="I209" s="59" t="s">
        <v>18</v>
      </c>
      <c r="J209" s="42" t="s">
        <v>25</v>
      </c>
      <c r="K209" s="42" t="s">
        <v>25</v>
      </c>
      <c r="L209" s="42"/>
      <c r="M209" s="62" t="s">
        <v>44</v>
      </c>
      <c r="N209" s="56"/>
      <c r="O209" s="56"/>
      <c r="P209" s="57">
        <v>1</v>
      </c>
      <c r="Q209" s="48"/>
      <c r="R209" s="48"/>
      <c r="S209" s="48"/>
    </row>
    <row r="210" spans="1:19" s="54" customFormat="1" ht="30" hidden="1" customHeight="1" x14ac:dyDescent="1.05">
      <c r="A210" s="29">
        <f t="shared" si="3"/>
        <v>54</v>
      </c>
      <c r="B210" s="30"/>
      <c r="C210" s="31" t="s">
        <v>290</v>
      </c>
      <c r="D210" s="59"/>
      <c r="E210" s="59"/>
      <c r="F210" s="105" t="s">
        <v>293</v>
      </c>
      <c r="G210" s="59"/>
      <c r="H210" s="76">
        <v>1</v>
      </c>
      <c r="I210" s="59" t="s">
        <v>18</v>
      </c>
      <c r="J210" s="42" t="s">
        <v>25</v>
      </c>
      <c r="K210" s="42" t="s">
        <v>25</v>
      </c>
      <c r="L210" s="42"/>
      <c r="M210" s="62" t="s">
        <v>44</v>
      </c>
      <c r="N210" s="56"/>
      <c r="O210" s="56"/>
      <c r="P210" s="57">
        <v>1</v>
      </c>
      <c r="Q210" s="106"/>
      <c r="R210" s="106"/>
      <c r="S210" s="106"/>
    </row>
    <row r="211" spans="1:19" s="54" customFormat="1" ht="30" hidden="1" customHeight="1" x14ac:dyDescent="1.05">
      <c r="A211" s="29">
        <f t="shared" si="3"/>
        <v>55</v>
      </c>
      <c r="B211" s="30"/>
      <c r="C211" s="31" t="s">
        <v>290</v>
      </c>
      <c r="D211" s="59"/>
      <c r="E211" s="59"/>
      <c r="F211" s="105" t="s">
        <v>293</v>
      </c>
      <c r="G211" s="59"/>
      <c r="H211" s="76">
        <v>1</v>
      </c>
      <c r="I211" s="59" t="s">
        <v>18</v>
      </c>
      <c r="J211" s="42" t="s">
        <v>25</v>
      </c>
      <c r="K211" s="42" t="s">
        <v>25</v>
      </c>
      <c r="L211" s="42"/>
      <c r="M211" s="62" t="s">
        <v>44</v>
      </c>
      <c r="N211" s="56"/>
      <c r="O211" s="56"/>
      <c r="P211" s="57">
        <v>1</v>
      </c>
      <c r="Q211" s="38"/>
      <c r="R211" s="38"/>
      <c r="S211" s="38"/>
    </row>
    <row r="212" spans="1:19" s="55" customFormat="1" ht="30" hidden="1" customHeight="1" x14ac:dyDescent="0.85">
      <c r="A212" s="29">
        <f t="shared" si="3"/>
        <v>56</v>
      </c>
      <c r="B212" s="30"/>
      <c r="C212" s="31" t="s">
        <v>290</v>
      </c>
      <c r="D212" s="59"/>
      <c r="E212" s="59"/>
      <c r="F212" s="105" t="s">
        <v>294</v>
      </c>
      <c r="G212" s="59"/>
      <c r="H212" s="76">
        <v>2</v>
      </c>
      <c r="I212" s="59" t="s">
        <v>18</v>
      </c>
      <c r="J212" s="42" t="s">
        <v>25</v>
      </c>
      <c r="K212" s="42" t="s">
        <v>25</v>
      </c>
      <c r="L212" s="42"/>
      <c r="M212" s="62" t="s">
        <v>44</v>
      </c>
      <c r="N212" s="56"/>
      <c r="O212" s="56"/>
      <c r="P212" s="57">
        <v>1</v>
      </c>
      <c r="Q212" s="53"/>
      <c r="R212" s="53"/>
      <c r="S212" s="53"/>
    </row>
    <row r="213" spans="1:19" s="65" customFormat="1" ht="28.5" hidden="1" customHeight="1" x14ac:dyDescent="1.05">
      <c r="A213" s="29">
        <f t="shared" si="3"/>
        <v>57</v>
      </c>
      <c r="B213" s="30"/>
      <c r="C213" s="31" t="s">
        <v>290</v>
      </c>
      <c r="D213" s="59"/>
      <c r="E213" s="59"/>
      <c r="F213" s="105" t="s">
        <v>295</v>
      </c>
      <c r="G213" s="59"/>
      <c r="H213" s="76">
        <v>1</v>
      </c>
      <c r="I213" s="59" t="s">
        <v>18</v>
      </c>
      <c r="J213" s="42" t="s">
        <v>25</v>
      </c>
      <c r="K213" s="42" t="s">
        <v>25</v>
      </c>
      <c r="L213" s="42"/>
      <c r="M213" s="62" t="s">
        <v>44</v>
      </c>
      <c r="N213" s="56"/>
      <c r="O213" s="56"/>
      <c r="P213" s="57">
        <v>1</v>
      </c>
      <c r="Q213" s="38"/>
      <c r="R213" s="38"/>
      <c r="S213" s="38"/>
    </row>
    <row r="214" spans="1:19" ht="30" hidden="1" customHeight="1" x14ac:dyDescent="1.05">
      <c r="A214" s="29">
        <f t="shared" si="3"/>
        <v>58</v>
      </c>
      <c r="B214" s="30"/>
      <c r="C214" s="31" t="s">
        <v>290</v>
      </c>
      <c r="D214" s="59"/>
      <c r="E214" s="59"/>
      <c r="F214" s="105" t="s">
        <v>291</v>
      </c>
      <c r="G214" s="59"/>
      <c r="H214" s="76">
        <v>19</v>
      </c>
      <c r="I214" s="59" t="s">
        <v>18</v>
      </c>
      <c r="J214" s="42" t="s">
        <v>25</v>
      </c>
      <c r="K214" s="42" t="s">
        <v>25</v>
      </c>
      <c r="L214" s="42"/>
      <c r="M214" s="62" t="s">
        <v>44</v>
      </c>
      <c r="N214" s="37"/>
      <c r="O214" s="37"/>
      <c r="P214" s="37">
        <v>1</v>
      </c>
      <c r="Q214" s="48"/>
      <c r="R214" s="48"/>
      <c r="S214" s="48"/>
    </row>
    <row r="215" spans="1:19" s="54" customFormat="1" ht="30" hidden="1" customHeight="1" x14ac:dyDescent="1.05">
      <c r="A215" s="29">
        <f t="shared" si="3"/>
        <v>59</v>
      </c>
      <c r="B215" s="30"/>
      <c r="C215" s="31" t="s">
        <v>290</v>
      </c>
      <c r="D215" s="59"/>
      <c r="E215" s="59"/>
      <c r="F215" s="105" t="s">
        <v>291</v>
      </c>
      <c r="G215" s="59"/>
      <c r="H215" s="76">
        <v>19</v>
      </c>
      <c r="I215" s="59" t="s">
        <v>18</v>
      </c>
      <c r="J215" s="42" t="s">
        <v>25</v>
      </c>
      <c r="K215" s="42" t="s">
        <v>25</v>
      </c>
      <c r="L215" s="42"/>
      <c r="M215" s="44" t="s">
        <v>33</v>
      </c>
      <c r="N215" s="56"/>
      <c r="O215" s="56"/>
      <c r="P215" s="57">
        <v>1</v>
      </c>
      <c r="Q215" s="38"/>
      <c r="R215" s="38"/>
      <c r="S215" s="38"/>
    </row>
    <row r="216" spans="1:19" s="55" customFormat="1" ht="30" hidden="1" customHeight="1" x14ac:dyDescent="1.05">
      <c r="A216" s="29">
        <f t="shared" si="3"/>
        <v>60</v>
      </c>
      <c r="B216" s="30"/>
      <c r="C216" s="31" t="s">
        <v>290</v>
      </c>
      <c r="D216" s="49"/>
      <c r="E216" s="50"/>
      <c r="F216" s="59" t="s">
        <v>291</v>
      </c>
      <c r="G216" s="49"/>
      <c r="H216" s="77">
        <v>19</v>
      </c>
      <c r="I216" s="49" t="s">
        <v>18</v>
      </c>
      <c r="J216" s="49" t="s">
        <v>25</v>
      </c>
      <c r="K216" s="90"/>
      <c r="L216" s="51"/>
      <c r="M216" s="62" t="s">
        <v>33</v>
      </c>
      <c r="N216" s="37" t="s">
        <v>33</v>
      </c>
      <c r="O216" s="37"/>
      <c r="P216" s="37">
        <v>1</v>
      </c>
      <c r="Q216" s="48"/>
      <c r="R216" s="48"/>
      <c r="S216" s="48"/>
    </row>
    <row r="217" spans="1:19" s="65" customFormat="1" ht="28.5" hidden="1" customHeight="1" x14ac:dyDescent="0.85">
      <c r="A217" s="29">
        <f t="shared" si="3"/>
        <v>61</v>
      </c>
      <c r="B217" s="30"/>
      <c r="C217" s="31" t="s">
        <v>290</v>
      </c>
      <c r="D217" s="32"/>
      <c r="E217" s="32"/>
      <c r="F217" s="59" t="s">
        <v>291</v>
      </c>
      <c r="G217" s="33"/>
      <c r="H217" s="35">
        <v>30</v>
      </c>
      <c r="I217" s="35" t="s">
        <v>18</v>
      </c>
      <c r="J217" s="32" t="s">
        <v>19</v>
      </c>
      <c r="K217" s="32" t="s">
        <v>20</v>
      </c>
      <c r="L217" s="32"/>
      <c r="M217" s="36" t="s">
        <v>21</v>
      </c>
      <c r="N217" s="56"/>
      <c r="O217" s="56"/>
      <c r="P217" s="57">
        <v>1</v>
      </c>
      <c r="Q217" s="46"/>
      <c r="R217" s="46"/>
      <c r="S217" s="46"/>
    </row>
    <row r="218" spans="1:19" ht="30" hidden="1" customHeight="1" x14ac:dyDescent="0.25">
      <c r="A218" s="29">
        <f t="shared" si="3"/>
        <v>62</v>
      </c>
      <c r="B218" s="30"/>
      <c r="C218" s="31" t="s">
        <v>290</v>
      </c>
      <c r="D218" s="32"/>
      <c r="E218" s="32"/>
      <c r="F218" s="59" t="s">
        <v>293</v>
      </c>
      <c r="G218" s="33"/>
      <c r="H218" s="35">
        <v>1</v>
      </c>
      <c r="I218" s="35" t="s">
        <v>18</v>
      </c>
      <c r="J218" s="32" t="s">
        <v>19</v>
      </c>
      <c r="K218" s="32" t="s">
        <v>20</v>
      </c>
      <c r="L218" s="32"/>
      <c r="M218" s="36" t="s">
        <v>21</v>
      </c>
      <c r="N218" s="56"/>
      <c r="O218" s="56"/>
      <c r="P218" s="57">
        <v>1</v>
      </c>
    </row>
    <row r="219" spans="1:19" s="55" customFormat="1" ht="30" hidden="1" customHeight="1" x14ac:dyDescent="1.05">
      <c r="A219" s="29">
        <f t="shared" si="3"/>
        <v>63</v>
      </c>
      <c r="B219" s="30"/>
      <c r="C219" s="31" t="s">
        <v>290</v>
      </c>
      <c r="D219" s="32"/>
      <c r="E219" s="32"/>
      <c r="F219" s="59" t="s">
        <v>295</v>
      </c>
      <c r="G219" s="33"/>
      <c r="H219" s="35">
        <v>1</v>
      </c>
      <c r="I219" s="35" t="s">
        <v>18</v>
      </c>
      <c r="J219" s="32" t="s">
        <v>19</v>
      </c>
      <c r="K219" s="32" t="s">
        <v>20</v>
      </c>
      <c r="L219" s="32"/>
      <c r="M219" s="36" t="s">
        <v>21</v>
      </c>
      <c r="N219" s="37"/>
      <c r="O219" s="37"/>
      <c r="P219" s="37">
        <v>1</v>
      </c>
      <c r="Q219" s="46"/>
      <c r="R219" s="46"/>
      <c r="S219" s="46"/>
    </row>
    <row r="220" spans="1:19" s="65" customFormat="1" ht="28.5" hidden="1" customHeight="1" x14ac:dyDescent="1.05">
      <c r="A220" s="29"/>
      <c r="B220" s="30"/>
      <c r="C220" s="31" t="s">
        <v>290</v>
      </c>
      <c r="D220" s="59"/>
      <c r="E220" s="59"/>
      <c r="F220" s="59" t="s">
        <v>291</v>
      </c>
      <c r="G220" s="59"/>
      <c r="H220" s="59">
        <v>20</v>
      </c>
      <c r="I220" s="59" t="s">
        <v>18</v>
      </c>
      <c r="J220" s="42" t="s">
        <v>25</v>
      </c>
      <c r="K220" s="42" t="s">
        <v>25</v>
      </c>
      <c r="L220" s="42"/>
      <c r="M220" s="44" t="s">
        <v>41</v>
      </c>
      <c r="N220" s="37"/>
      <c r="O220" s="37"/>
      <c r="P220" s="37">
        <v>1</v>
      </c>
      <c r="Q220" s="46"/>
      <c r="R220" s="46"/>
      <c r="S220" s="46"/>
    </row>
    <row r="221" spans="1:19" s="54" customFormat="1" ht="30" hidden="1" customHeight="1" x14ac:dyDescent="1.05">
      <c r="A221" s="29"/>
      <c r="B221" s="30"/>
      <c r="C221" s="31" t="s">
        <v>290</v>
      </c>
      <c r="D221" s="59"/>
      <c r="E221" s="59"/>
      <c r="F221" s="59" t="s">
        <v>296</v>
      </c>
      <c r="G221" s="59"/>
      <c r="H221" s="59">
        <v>1</v>
      </c>
      <c r="I221" s="59" t="s">
        <v>18</v>
      </c>
      <c r="J221" s="42" t="s">
        <v>25</v>
      </c>
      <c r="K221" s="42" t="s">
        <v>25</v>
      </c>
      <c r="L221" s="42"/>
      <c r="M221" s="44" t="s">
        <v>41</v>
      </c>
      <c r="N221" s="37"/>
      <c r="O221" s="37"/>
      <c r="P221" s="37">
        <v>1</v>
      </c>
      <c r="Q221" s="46"/>
      <c r="R221" s="46"/>
      <c r="S221" s="46"/>
    </row>
    <row r="222" spans="1:19" s="55" customFormat="1" ht="30" hidden="1" customHeight="1" x14ac:dyDescent="1.05">
      <c r="A222" s="29"/>
      <c r="B222" s="30"/>
      <c r="C222" s="31" t="s">
        <v>290</v>
      </c>
      <c r="D222" s="59"/>
      <c r="E222" s="59"/>
      <c r="F222" s="59" t="s">
        <v>295</v>
      </c>
      <c r="G222" s="59"/>
      <c r="H222" s="59">
        <v>1</v>
      </c>
      <c r="I222" s="59" t="s">
        <v>18</v>
      </c>
      <c r="J222" s="42" t="s">
        <v>25</v>
      </c>
      <c r="K222" s="42" t="s">
        <v>25</v>
      </c>
      <c r="L222" s="42"/>
      <c r="M222" s="44" t="s">
        <v>41</v>
      </c>
      <c r="N222" s="37"/>
      <c r="O222" s="37"/>
      <c r="P222" s="37">
        <v>1</v>
      </c>
      <c r="Q222" s="46"/>
      <c r="R222" s="46"/>
      <c r="S222" s="46"/>
    </row>
    <row r="223" spans="1:19" s="65" customFormat="1" ht="28.5" hidden="1" customHeight="1" x14ac:dyDescent="1.05">
      <c r="A223" s="29"/>
      <c r="B223" s="30"/>
      <c r="C223" s="31" t="s">
        <v>290</v>
      </c>
      <c r="D223" s="59"/>
      <c r="E223" s="59"/>
      <c r="F223" s="59" t="s">
        <v>297</v>
      </c>
      <c r="G223" s="59"/>
      <c r="H223" s="59">
        <v>1</v>
      </c>
      <c r="I223" s="59" t="s">
        <v>18</v>
      </c>
      <c r="J223" s="42" t="s">
        <v>25</v>
      </c>
      <c r="K223" s="42" t="s">
        <v>25</v>
      </c>
      <c r="L223" s="42"/>
      <c r="M223" s="44" t="s">
        <v>41</v>
      </c>
      <c r="N223" s="37"/>
      <c r="O223" s="37"/>
      <c r="P223" s="37">
        <v>1</v>
      </c>
      <c r="Q223" s="38"/>
      <c r="R223" s="38"/>
      <c r="S223" s="38"/>
    </row>
    <row r="224" spans="1:19" s="65" customFormat="1" ht="28.5" hidden="1" customHeight="1" x14ac:dyDescent="0.85">
      <c r="A224" s="29">
        <f>A223+1</f>
        <v>1</v>
      </c>
      <c r="B224" s="30"/>
      <c r="C224" s="31" t="s">
        <v>298</v>
      </c>
      <c r="D224" s="32"/>
      <c r="E224" s="32"/>
      <c r="F224" s="33" t="s">
        <v>299</v>
      </c>
      <c r="G224" s="33"/>
      <c r="H224" s="35">
        <v>28</v>
      </c>
      <c r="I224" s="35" t="s">
        <v>18</v>
      </c>
      <c r="J224" s="32" t="s">
        <v>19</v>
      </c>
      <c r="K224" s="32" t="s">
        <v>20</v>
      </c>
      <c r="L224" s="32"/>
      <c r="M224" s="36" t="s">
        <v>21</v>
      </c>
      <c r="N224" s="56" t="s">
        <v>300</v>
      </c>
      <c r="O224" s="56"/>
      <c r="P224" s="57">
        <v>1</v>
      </c>
      <c r="Q224" s="46"/>
      <c r="R224" s="46"/>
      <c r="S224" s="46"/>
    </row>
    <row r="225" spans="1:19" s="55" customFormat="1" ht="30" hidden="1" customHeight="1" x14ac:dyDescent="0.25">
      <c r="A225" s="29">
        <f>A224+1</f>
        <v>2</v>
      </c>
      <c r="B225" s="30"/>
      <c r="C225" s="31" t="s">
        <v>156</v>
      </c>
      <c r="D225" s="59"/>
      <c r="E225" s="59"/>
      <c r="F225" s="92" t="s">
        <v>301</v>
      </c>
      <c r="G225" s="59"/>
      <c r="H225" s="76">
        <v>1</v>
      </c>
      <c r="I225" s="59" t="s">
        <v>18</v>
      </c>
      <c r="J225" s="42" t="s">
        <v>25</v>
      </c>
      <c r="K225" s="42" t="s">
        <v>25</v>
      </c>
      <c r="L225" s="42"/>
      <c r="M225" s="107" t="s">
        <v>40</v>
      </c>
      <c r="N225" s="45"/>
      <c r="O225" s="45"/>
      <c r="P225" s="45">
        <v>1</v>
      </c>
      <c r="Q225" s="46"/>
      <c r="R225" s="46"/>
      <c r="S225" s="46"/>
    </row>
    <row r="226" spans="1:19" ht="30" hidden="1" customHeight="1" x14ac:dyDescent="1.05">
      <c r="A226" s="29">
        <f>A225+1</f>
        <v>3</v>
      </c>
      <c r="B226" s="30"/>
      <c r="C226" s="31" t="s">
        <v>156</v>
      </c>
      <c r="D226" s="59"/>
      <c r="E226" s="59"/>
      <c r="F226" s="92" t="s">
        <v>302</v>
      </c>
      <c r="G226" s="59"/>
      <c r="H226" s="76">
        <v>18</v>
      </c>
      <c r="I226" s="59" t="s">
        <v>18</v>
      </c>
      <c r="J226" s="42" t="s">
        <v>25</v>
      </c>
      <c r="K226" s="42" t="s">
        <v>25</v>
      </c>
      <c r="L226" s="42"/>
      <c r="M226" s="94" t="s">
        <v>40</v>
      </c>
      <c r="N226" s="37"/>
      <c r="O226" s="37"/>
      <c r="P226" s="37">
        <v>1</v>
      </c>
      <c r="Q226" s="38"/>
      <c r="R226" s="38"/>
      <c r="S226" s="38"/>
    </row>
    <row r="227" spans="1:19" s="54" customFormat="1" ht="30" hidden="1" customHeight="1" x14ac:dyDescent="1.05">
      <c r="A227" s="29">
        <f>A226+1</f>
        <v>4</v>
      </c>
      <c r="B227" s="30"/>
      <c r="C227" s="31" t="s">
        <v>156</v>
      </c>
      <c r="D227" s="59"/>
      <c r="E227" s="59"/>
      <c r="F227" s="92" t="s">
        <v>302</v>
      </c>
      <c r="G227" s="59"/>
      <c r="H227" s="76">
        <v>19</v>
      </c>
      <c r="I227" s="59" t="s">
        <v>18</v>
      </c>
      <c r="J227" s="42" t="s">
        <v>25</v>
      </c>
      <c r="K227" s="42" t="s">
        <v>25</v>
      </c>
      <c r="L227" s="42"/>
      <c r="M227" s="94" t="s">
        <v>40</v>
      </c>
      <c r="N227" s="45"/>
      <c r="O227" s="45"/>
      <c r="P227" s="45">
        <v>1</v>
      </c>
      <c r="Q227" s="53"/>
      <c r="R227" s="53"/>
      <c r="S227" s="53"/>
    </row>
    <row r="228" spans="1:19" s="65" customFormat="1" ht="28.5" customHeight="1" x14ac:dyDescent="1.05">
      <c r="A228" s="29">
        <f>A227+1</f>
        <v>5</v>
      </c>
      <c r="B228" s="58" t="s">
        <v>303</v>
      </c>
      <c r="C228" s="101" t="s">
        <v>249</v>
      </c>
      <c r="D228" s="32"/>
      <c r="E228" s="32"/>
      <c r="F228" s="33"/>
      <c r="G228" s="32"/>
      <c r="H228" s="73">
        <v>1</v>
      </c>
      <c r="I228" s="35" t="s">
        <v>24</v>
      </c>
      <c r="J228" s="42" t="s">
        <v>25</v>
      </c>
      <c r="K228" s="42" t="s">
        <v>25</v>
      </c>
      <c r="L228" s="42"/>
      <c r="M228" s="44" t="s">
        <v>26</v>
      </c>
      <c r="N228" s="64" t="s">
        <v>304</v>
      </c>
      <c r="O228" s="64"/>
      <c r="P228" s="64">
        <v>1</v>
      </c>
      <c r="Q228" s="38"/>
      <c r="R228" s="38"/>
      <c r="S228" s="38"/>
    </row>
    <row r="229" spans="1:19" s="65" customFormat="1" ht="28.5" hidden="1" customHeight="1" x14ac:dyDescent="1.05">
      <c r="A229" s="29" t="e">
        <f>#REF!+1</f>
        <v>#REF!</v>
      </c>
      <c r="B229" s="58"/>
      <c r="C229" s="41" t="s">
        <v>305</v>
      </c>
      <c r="D229" s="49"/>
      <c r="E229" s="50"/>
      <c r="F229" s="49" t="s">
        <v>306</v>
      </c>
      <c r="G229" s="49"/>
      <c r="H229" s="49">
        <v>2</v>
      </c>
      <c r="I229" s="49" t="s">
        <v>201</v>
      </c>
      <c r="J229" s="49" t="s">
        <v>25</v>
      </c>
      <c r="K229" s="51">
        <v>46163</v>
      </c>
      <c r="L229" s="51"/>
      <c r="M229" s="62" t="s">
        <v>44</v>
      </c>
      <c r="N229" s="56"/>
      <c r="O229" s="56"/>
      <c r="P229" s="57">
        <v>1</v>
      </c>
      <c r="Q229" s="38"/>
      <c r="R229" s="38"/>
      <c r="S229" s="38"/>
    </row>
    <row r="230" spans="1:19" ht="30" hidden="1" customHeight="1" x14ac:dyDescent="1.05">
      <c r="A230" s="29" t="e">
        <f>A229+1</f>
        <v>#REF!</v>
      </c>
      <c r="B230" s="58" t="s">
        <v>307</v>
      </c>
      <c r="C230" s="31" t="s">
        <v>308</v>
      </c>
      <c r="D230" s="42"/>
      <c r="E230" s="42"/>
      <c r="F230" s="36"/>
      <c r="G230" s="42"/>
      <c r="H230" s="60">
        <v>1</v>
      </c>
      <c r="I230" s="62" t="s">
        <v>24</v>
      </c>
      <c r="J230" s="42" t="s">
        <v>25</v>
      </c>
      <c r="K230" s="42" t="s">
        <v>25</v>
      </c>
      <c r="L230" s="42"/>
      <c r="M230" s="44" t="s">
        <v>40</v>
      </c>
      <c r="N230" s="45"/>
      <c r="O230" s="45"/>
      <c r="P230" s="45">
        <v>1</v>
      </c>
      <c r="Q230" s="38"/>
      <c r="R230" s="38"/>
      <c r="S230" s="38"/>
    </row>
    <row r="231" spans="1:19" ht="30" hidden="1" customHeight="1" x14ac:dyDescent="1.05">
      <c r="A231" s="29" t="e">
        <f>#REF!+1</f>
        <v>#REF!</v>
      </c>
      <c r="B231" s="58" t="s">
        <v>309</v>
      </c>
      <c r="C231" s="41" t="s">
        <v>308</v>
      </c>
      <c r="D231" s="49"/>
      <c r="E231" s="50"/>
      <c r="F231" s="49"/>
      <c r="G231" s="49"/>
      <c r="H231" s="49">
        <v>1</v>
      </c>
      <c r="I231" s="49" t="s">
        <v>153</v>
      </c>
      <c r="J231" s="49" t="s">
        <v>25</v>
      </c>
      <c r="K231" s="51"/>
      <c r="L231" s="51"/>
      <c r="M231" s="62" t="s">
        <v>44</v>
      </c>
      <c r="N231" s="37"/>
      <c r="O231" s="37"/>
      <c r="P231" s="37">
        <v>1</v>
      </c>
      <c r="Q231" s="53"/>
      <c r="R231" s="53"/>
      <c r="S231" s="53"/>
    </row>
    <row r="232" spans="1:19" ht="30" hidden="1" customHeight="1" x14ac:dyDescent="0.25">
      <c r="A232" s="29" t="e">
        <f t="shared" ref="A232:A237" si="4">A231+1</f>
        <v>#REF!</v>
      </c>
      <c r="B232" s="58" t="s">
        <v>310</v>
      </c>
      <c r="C232" s="41" t="s">
        <v>308</v>
      </c>
      <c r="D232" s="49"/>
      <c r="E232" s="50"/>
      <c r="F232" s="49"/>
      <c r="G232" s="49"/>
      <c r="H232" s="49">
        <v>1</v>
      </c>
      <c r="I232" s="49" t="s">
        <v>153</v>
      </c>
      <c r="J232" s="49" t="s">
        <v>25</v>
      </c>
      <c r="K232" s="51"/>
      <c r="L232" s="51">
        <v>46157</v>
      </c>
      <c r="M232" s="62" t="s">
        <v>44</v>
      </c>
      <c r="N232" s="56"/>
      <c r="O232" s="56"/>
      <c r="P232" s="57">
        <v>1</v>
      </c>
    </row>
    <row r="233" spans="1:19" ht="30" hidden="1" customHeight="1" x14ac:dyDescent="1.05">
      <c r="A233" s="29" t="e">
        <f t="shared" si="4"/>
        <v>#REF!</v>
      </c>
      <c r="B233" s="58" t="s">
        <v>311</v>
      </c>
      <c r="C233" s="41" t="s">
        <v>308</v>
      </c>
      <c r="D233" s="49"/>
      <c r="E233" s="50"/>
      <c r="F233" s="49"/>
      <c r="G233" s="49"/>
      <c r="H233" s="49">
        <v>1</v>
      </c>
      <c r="I233" s="49" t="s">
        <v>153</v>
      </c>
      <c r="J233" s="49" t="s">
        <v>25</v>
      </c>
      <c r="K233" s="51"/>
      <c r="L233" s="51"/>
      <c r="M233" s="62" t="s">
        <v>44</v>
      </c>
      <c r="N233" s="37"/>
      <c r="O233" s="37"/>
      <c r="P233" s="37">
        <v>1</v>
      </c>
      <c r="Q233" s="53"/>
      <c r="R233" s="53"/>
      <c r="S233" s="53"/>
    </row>
    <row r="234" spans="1:19" ht="30" hidden="1" customHeight="1" x14ac:dyDescent="1.05">
      <c r="A234" s="29" t="e">
        <f t="shared" si="4"/>
        <v>#REF!</v>
      </c>
      <c r="B234" s="58" t="s">
        <v>312</v>
      </c>
      <c r="C234" s="31" t="s">
        <v>308</v>
      </c>
      <c r="D234" s="32"/>
      <c r="E234" s="32"/>
      <c r="F234" s="33"/>
      <c r="G234" s="33"/>
      <c r="H234" s="35">
        <v>1</v>
      </c>
      <c r="I234" s="35" t="s">
        <v>24</v>
      </c>
      <c r="J234" s="32" t="s">
        <v>19</v>
      </c>
      <c r="K234" s="32" t="s">
        <v>20</v>
      </c>
      <c r="L234" s="32"/>
      <c r="M234" s="36" t="s">
        <v>21</v>
      </c>
      <c r="N234" s="37"/>
      <c r="O234" s="37"/>
      <c r="P234" s="37">
        <v>1</v>
      </c>
      <c r="Q234" s="48"/>
      <c r="R234" s="48"/>
      <c r="S234" s="48"/>
    </row>
    <row r="235" spans="1:19" ht="30" hidden="1" customHeight="1" x14ac:dyDescent="0.85">
      <c r="A235" s="29" t="e">
        <f t="shared" si="4"/>
        <v>#REF!</v>
      </c>
      <c r="B235" s="58" t="s">
        <v>313</v>
      </c>
      <c r="C235" s="41" t="s">
        <v>314</v>
      </c>
      <c r="D235" s="60"/>
      <c r="E235" s="60"/>
      <c r="F235" s="60"/>
      <c r="G235" s="60"/>
      <c r="H235" s="60">
        <v>1</v>
      </c>
      <c r="I235" s="60" t="s">
        <v>24</v>
      </c>
      <c r="J235" s="60" t="s">
        <v>19</v>
      </c>
      <c r="K235" s="63"/>
      <c r="L235" s="63"/>
      <c r="M235" s="60" t="s">
        <v>41</v>
      </c>
      <c r="N235" s="64"/>
      <c r="O235" s="64"/>
      <c r="P235" s="64">
        <v>1</v>
      </c>
    </row>
    <row r="236" spans="1:19" ht="30" hidden="1" customHeight="1" x14ac:dyDescent="0.85">
      <c r="A236" s="29" t="e">
        <f t="shared" si="4"/>
        <v>#REF!</v>
      </c>
      <c r="B236" s="58" t="s">
        <v>315</v>
      </c>
      <c r="C236" s="41" t="s">
        <v>249</v>
      </c>
      <c r="D236" s="32"/>
      <c r="E236" s="32"/>
      <c r="F236" s="33"/>
      <c r="G236" s="32"/>
      <c r="H236" s="73">
        <v>1</v>
      </c>
      <c r="I236" s="35" t="s">
        <v>24</v>
      </c>
      <c r="J236" s="42" t="s">
        <v>25</v>
      </c>
      <c r="K236" s="42" t="s">
        <v>25</v>
      </c>
      <c r="L236" s="42"/>
      <c r="M236" s="44" t="s">
        <v>40</v>
      </c>
      <c r="N236" s="64"/>
      <c r="O236" s="64"/>
      <c r="P236" s="64">
        <v>1</v>
      </c>
      <c r="Q236" s="68"/>
      <c r="R236" s="68"/>
      <c r="S236" s="68"/>
    </row>
    <row r="237" spans="1:19" ht="30" hidden="1" customHeight="1" x14ac:dyDescent="0.85">
      <c r="A237" s="29" t="e">
        <f t="shared" si="4"/>
        <v>#REF!</v>
      </c>
      <c r="B237" s="58" t="s">
        <v>230</v>
      </c>
      <c r="C237" s="41" t="s">
        <v>249</v>
      </c>
      <c r="D237" s="32"/>
      <c r="E237" s="32"/>
      <c r="F237" s="33"/>
      <c r="G237" s="32"/>
      <c r="H237" s="73">
        <v>1</v>
      </c>
      <c r="I237" s="35" t="s">
        <v>24</v>
      </c>
      <c r="J237" s="42" t="s">
        <v>25</v>
      </c>
      <c r="K237" s="42" t="s">
        <v>25</v>
      </c>
      <c r="L237" s="42"/>
      <c r="M237" s="44" t="s">
        <v>40</v>
      </c>
      <c r="N237" s="64"/>
      <c r="O237" s="64"/>
      <c r="P237" s="64">
        <v>1</v>
      </c>
      <c r="Q237" s="68"/>
      <c r="R237" s="68"/>
      <c r="S237" s="68"/>
    </row>
    <row r="238" spans="1:19" ht="30" customHeight="1" x14ac:dyDescent="0.3">
      <c r="A238" s="40"/>
      <c r="B238" s="30" t="s">
        <v>316</v>
      </c>
      <c r="C238" s="41" t="s">
        <v>149</v>
      </c>
      <c r="D238" s="32"/>
      <c r="E238" s="32"/>
      <c r="F238" s="33"/>
      <c r="G238" s="33"/>
      <c r="H238" s="35">
        <v>1</v>
      </c>
      <c r="I238" s="35" t="s">
        <v>61</v>
      </c>
      <c r="J238" s="32" t="s">
        <v>19</v>
      </c>
      <c r="K238" s="32"/>
      <c r="L238" s="61"/>
      <c r="M238" s="44" t="s">
        <v>26</v>
      </c>
      <c r="N238" s="45"/>
      <c r="O238" s="45"/>
      <c r="P238" s="45">
        <v>1</v>
      </c>
    </row>
    <row r="239" spans="1:19" s="54" customFormat="1" ht="30" hidden="1" customHeight="1" x14ac:dyDescent="1.05">
      <c r="A239" s="29" t="e">
        <f>#REF!+1</f>
        <v>#REF!</v>
      </c>
      <c r="B239" s="100" t="s">
        <v>248</v>
      </c>
      <c r="C239" s="41" t="s">
        <v>249</v>
      </c>
      <c r="D239" s="32"/>
      <c r="E239" s="32"/>
      <c r="F239" s="33"/>
      <c r="G239" s="32"/>
      <c r="H239" s="32">
        <v>1</v>
      </c>
      <c r="I239" s="35" t="s">
        <v>24</v>
      </c>
      <c r="J239" s="42" t="s">
        <v>25</v>
      </c>
      <c r="K239" s="42" t="s">
        <v>25</v>
      </c>
      <c r="L239" s="42"/>
      <c r="M239" s="62" t="s">
        <v>44</v>
      </c>
      <c r="N239" s="64"/>
      <c r="O239" s="64"/>
      <c r="P239" s="64">
        <v>1</v>
      </c>
      <c r="Q239" s="53"/>
      <c r="R239" s="53"/>
      <c r="S239" s="53"/>
    </row>
    <row r="240" spans="1:19" s="65" customFormat="1" ht="28.5" hidden="1" customHeight="1" x14ac:dyDescent="1.05">
      <c r="A240" s="29" t="e">
        <f t="shared" ref="A240:A249" si="5">A239+1</f>
        <v>#REF!</v>
      </c>
      <c r="B240" s="47" t="s">
        <v>317</v>
      </c>
      <c r="C240" s="67" t="s">
        <v>249</v>
      </c>
      <c r="D240" s="49"/>
      <c r="E240" s="50"/>
      <c r="F240" s="49"/>
      <c r="G240" s="49"/>
      <c r="H240" s="49">
        <v>1</v>
      </c>
      <c r="I240" s="49" t="s">
        <v>153</v>
      </c>
      <c r="J240" s="49" t="s">
        <v>25</v>
      </c>
      <c r="K240" s="51"/>
      <c r="L240" s="51">
        <v>46157</v>
      </c>
      <c r="M240" s="62" t="s">
        <v>44</v>
      </c>
      <c r="N240" s="37"/>
      <c r="O240" s="37"/>
      <c r="P240" s="37">
        <v>1</v>
      </c>
      <c r="Q240" s="38"/>
      <c r="R240" s="38"/>
      <c r="S240" s="38"/>
    </row>
    <row r="241" spans="1:19" s="65" customFormat="1" ht="28.5" hidden="1" customHeight="1" x14ac:dyDescent="0.85">
      <c r="A241" s="29" t="e">
        <f t="shared" si="5"/>
        <v>#REF!</v>
      </c>
      <c r="B241" s="58" t="s">
        <v>318</v>
      </c>
      <c r="C241" s="41" t="s">
        <v>249</v>
      </c>
      <c r="D241" s="32"/>
      <c r="E241" s="32"/>
      <c r="F241" s="33"/>
      <c r="G241" s="32" t="s">
        <v>319</v>
      </c>
      <c r="H241" s="73">
        <v>1</v>
      </c>
      <c r="I241" s="35" t="s">
        <v>24</v>
      </c>
      <c r="J241" s="42" t="s">
        <v>25</v>
      </c>
      <c r="K241" s="42" t="s">
        <v>25</v>
      </c>
      <c r="L241" s="42"/>
      <c r="M241" s="62" t="s">
        <v>44</v>
      </c>
      <c r="N241" s="64"/>
      <c r="O241" s="64"/>
      <c r="P241" s="64">
        <v>1</v>
      </c>
      <c r="Q241" s="46"/>
      <c r="R241" s="46"/>
      <c r="S241" s="46"/>
    </row>
    <row r="242" spans="1:19" s="65" customFormat="1" ht="28.5" hidden="1" customHeight="1" x14ac:dyDescent="1.05">
      <c r="A242" s="29" t="e">
        <f t="shared" si="5"/>
        <v>#REF!</v>
      </c>
      <c r="B242" s="47" t="s">
        <v>250</v>
      </c>
      <c r="C242" s="67" t="s">
        <v>249</v>
      </c>
      <c r="D242" s="49"/>
      <c r="E242" s="50"/>
      <c r="F242" s="49"/>
      <c r="G242" s="49"/>
      <c r="H242" s="77">
        <v>1</v>
      </c>
      <c r="I242" s="49" t="s">
        <v>153</v>
      </c>
      <c r="J242" s="49" t="s">
        <v>25</v>
      </c>
      <c r="K242" s="51"/>
      <c r="L242" s="51">
        <v>46157</v>
      </c>
      <c r="M242" s="62" t="s">
        <v>44</v>
      </c>
      <c r="N242" s="58"/>
      <c r="O242" s="45"/>
      <c r="P242" s="45">
        <v>1</v>
      </c>
      <c r="Q242" s="38"/>
      <c r="R242" s="38"/>
      <c r="S242" s="38"/>
    </row>
    <row r="243" spans="1:19" s="65" customFormat="1" ht="28.5" hidden="1" customHeight="1" x14ac:dyDescent="1.05">
      <c r="A243" s="29" t="e">
        <f t="shared" si="5"/>
        <v>#REF!</v>
      </c>
      <c r="B243" s="47" t="s">
        <v>320</v>
      </c>
      <c r="C243" s="67" t="s">
        <v>249</v>
      </c>
      <c r="D243" s="32"/>
      <c r="E243" s="32"/>
      <c r="F243" s="33"/>
      <c r="G243" s="33"/>
      <c r="H243" s="34">
        <v>1</v>
      </c>
      <c r="I243" s="35" t="s">
        <v>24</v>
      </c>
      <c r="J243" s="32" t="s">
        <v>19</v>
      </c>
      <c r="K243" s="32" t="s">
        <v>20</v>
      </c>
      <c r="L243" s="32"/>
      <c r="M243" s="36" t="s">
        <v>21</v>
      </c>
      <c r="N243" s="37" t="s">
        <v>26</v>
      </c>
      <c r="O243" s="37"/>
      <c r="P243" s="37">
        <v>1</v>
      </c>
      <c r="Q243" s="48"/>
      <c r="R243" s="48"/>
      <c r="S243" s="48"/>
    </row>
    <row r="244" spans="1:19" s="65" customFormat="1" ht="28.5" hidden="1" customHeight="1" x14ac:dyDescent="1.05">
      <c r="A244" s="29" t="e">
        <f t="shared" si="5"/>
        <v>#REF!</v>
      </c>
      <c r="B244" s="47" t="s">
        <v>321</v>
      </c>
      <c r="C244" s="67" t="s">
        <v>249</v>
      </c>
      <c r="D244" s="32"/>
      <c r="E244" s="32"/>
      <c r="F244" s="33"/>
      <c r="G244" s="33"/>
      <c r="H244" s="35">
        <v>1</v>
      </c>
      <c r="I244" s="35" t="s">
        <v>24</v>
      </c>
      <c r="J244" s="32" t="s">
        <v>19</v>
      </c>
      <c r="K244" s="32" t="s">
        <v>20</v>
      </c>
      <c r="L244" s="32"/>
      <c r="M244" s="36" t="s">
        <v>21</v>
      </c>
      <c r="N244" s="36"/>
      <c r="O244" s="37"/>
      <c r="P244" s="37">
        <v>1</v>
      </c>
      <c r="Q244" s="38"/>
      <c r="R244" s="38"/>
      <c r="S244" s="38"/>
    </row>
    <row r="245" spans="1:19" s="55" customFormat="1" ht="30" hidden="1" customHeight="1" x14ac:dyDescent="0.85">
      <c r="A245" s="29" t="e">
        <f t="shared" si="5"/>
        <v>#REF!</v>
      </c>
      <c r="B245" s="58" t="s">
        <v>322</v>
      </c>
      <c r="C245" s="67" t="s">
        <v>249</v>
      </c>
      <c r="D245" s="60"/>
      <c r="E245" s="60"/>
      <c r="F245" s="60"/>
      <c r="G245" s="60"/>
      <c r="H245" s="80">
        <v>1</v>
      </c>
      <c r="I245" s="60" t="s">
        <v>24</v>
      </c>
      <c r="J245" s="60" t="s">
        <v>19</v>
      </c>
      <c r="K245" s="63"/>
      <c r="L245" s="63"/>
      <c r="M245" s="60" t="s">
        <v>41</v>
      </c>
      <c r="N245" s="56"/>
      <c r="O245" s="58"/>
      <c r="P245" s="57">
        <v>1</v>
      </c>
      <c r="Q245" s="46"/>
      <c r="R245" s="46"/>
      <c r="S245" s="46"/>
    </row>
    <row r="246" spans="1:19" s="55" customFormat="1" ht="30" hidden="1" customHeight="1" x14ac:dyDescent="0.85">
      <c r="A246" s="29" t="e">
        <f t="shared" si="5"/>
        <v>#REF!</v>
      </c>
      <c r="B246" s="58" t="s">
        <v>323</v>
      </c>
      <c r="C246" s="67" t="s">
        <v>249</v>
      </c>
      <c r="D246" s="60"/>
      <c r="E246" s="60"/>
      <c r="F246" s="60"/>
      <c r="G246" s="60"/>
      <c r="H246" s="80">
        <v>1</v>
      </c>
      <c r="I246" s="60" t="s">
        <v>24</v>
      </c>
      <c r="J246" s="60" t="s">
        <v>19</v>
      </c>
      <c r="K246" s="63"/>
      <c r="L246" s="63"/>
      <c r="M246" s="60" t="s">
        <v>41</v>
      </c>
      <c r="N246" s="56" t="s">
        <v>324</v>
      </c>
      <c r="O246" s="56"/>
      <c r="P246" s="57">
        <v>1</v>
      </c>
      <c r="Q246" s="46"/>
      <c r="R246" s="46"/>
      <c r="S246" s="46"/>
    </row>
    <row r="247" spans="1:19" s="55" customFormat="1" ht="30" hidden="1" customHeight="1" x14ac:dyDescent="0.25">
      <c r="A247" s="29" t="e">
        <f t="shared" si="5"/>
        <v>#REF!</v>
      </c>
      <c r="B247" s="47" t="s">
        <v>325</v>
      </c>
      <c r="C247" s="67" t="s">
        <v>269</v>
      </c>
      <c r="D247" s="43"/>
      <c r="E247" s="43"/>
      <c r="F247" s="70"/>
      <c r="G247" s="87"/>
      <c r="H247" s="42">
        <v>1</v>
      </c>
      <c r="I247" s="42" t="s">
        <v>24</v>
      </c>
      <c r="J247" s="42" t="s">
        <v>25</v>
      </c>
      <c r="K247" s="42" t="s">
        <v>25</v>
      </c>
      <c r="L247" s="42"/>
      <c r="M247" s="44" t="s">
        <v>40</v>
      </c>
      <c r="N247" s="102"/>
      <c r="O247" s="102"/>
      <c r="P247" s="102">
        <v>1</v>
      </c>
      <c r="Q247" s="68"/>
      <c r="R247" s="68"/>
      <c r="S247" s="68"/>
    </row>
    <row r="248" spans="1:19" s="55" customFormat="1" ht="30" hidden="1" customHeight="1" x14ac:dyDescent="0.25">
      <c r="A248" s="29" t="e">
        <f t="shared" si="5"/>
        <v>#REF!</v>
      </c>
      <c r="B248" s="47" t="s">
        <v>326</v>
      </c>
      <c r="C248" s="67" t="s">
        <v>269</v>
      </c>
      <c r="D248" s="43"/>
      <c r="E248" s="43"/>
      <c r="F248" s="70"/>
      <c r="G248" s="87"/>
      <c r="H248" s="42">
        <v>1</v>
      </c>
      <c r="I248" s="42" t="s">
        <v>24</v>
      </c>
      <c r="J248" s="42" t="s">
        <v>25</v>
      </c>
      <c r="K248" s="42" t="s">
        <v>25</v>
      </c>
      <c r="L248" s="42"/>
      <c r="M248" s="44" t="s">
        <v>40</v>
      </c>
      <c r="N248" s="56"/>
      <c r="O248" s="56"/>
      <c r="P248" s="57">
        <v>1</v>
      </c>
      <c r="Q248" s="68"/>
      <c r="R248" s="68"/>
      <c r="S248" s="68"/>
    </row>
    <row r="249" spans="1:19" s="55" customFormat="1" ht="30" hidden="1" customHeight="1" x14ac:dyDescent="0.25">
      <c r="A249" s="29" t="e">
        <f t="shared" si="5"/>
        <v>#REF!</v>
      </c>
      <c r="B249" s="47" t="s">
        <v>327</v>
      </c>
      <c r="C249" s="67" t="s">
        <v>269</v>
      </c>
      <c r="D249" s="43"/>
      <c r="E249" s="43"/>
      <c r="F249" s="70"/>
      <c r="G249" s="87"/>
      <c r="H249" s="42">
        <v>1</v>
      </c>
      <c r="I249" s="42" t="s">
        <v>24</v>
      </c>
      <c r="J249" s="42" t="s">
        <v>25</v>
      </c>
      <c r="K249" s="42" t="s">
        <v>25</v>
      </c>
      <c r="L249" s="42"/>
      <c r="M249" s="44" t="s">
        <v>40</v>
      </c>
      <c r="N249" s="56"/>
      <c r="O249" s="56"/>
      <c r="P249" s="57">
        <v>1</v>
      </c>
      <c r="Q249" s="68"/>
      <c r="R249" s="68"/>
      <c r="S249" s="68"/>
    </row>
    <row r="250" spans="1:19" s="65" customFormat="1" ht="28.5" customHeight="1" x14ac:dyDescent="0.85">
      <c r="A250" s="40"/>
      <c r="B250" s="30" t="s">
        <v>160</v>
      </c>
      <c r="C250" s="41" t="s">
        <v>149</v>
      </c>
      <c r="D250" s="32"/>
      <c r="E250" s="32"/>
      <c r="F250" s="33"/>
      <c r="G250" s="33"/>
      <c r="H250" s="35">
        <v>1</v>
      </c>
      <c r="I250" s="35" t="s">
        <v>61</v>
      </c>
      <c r="J250" s="32" t="s">
        <v>19</v>
      </c>
      <c r="K250" s="32"/>
      <c r="L250" s="61"/>
      <c r="M250" s="44" t="s">
        <v>26</v>
      </c>
      <c r="N250" s="45"/>
      <c r="O250" s="45"/>
      <c r="P250" s="45">
        <v>1</v>
      </c>
      <c r="Q250" s="46"/>
      <c r="R250" s="46"/>
      <c r="S250" s="46"/>
    </row>
    <row r="251" spans="1:19" s="65" customFormat="1" ht="28.5" hidden="1" customHeight="1" x14ac:dyDescent="1.05">
      <c r="A251" s="29">
        <f t="shared" ref="A251:A256" si="6">A250+1</f>
        <v>1</v>
      </c>
      <c r="B251" s="47" t="s">
        <v>328</v>
      </c>
      <c r="C251" s="67" t="s">
        <v>269</v>
      </c>
      <c r="D251" s="77"/>
      <c r="E251" s="103"/>
      <c r="F251" s="77"/>
      <c r="G251" s="77"/>
      <c r="H251" s="77">
        <v>1</v>
      </c>
      <c r="I251" s="42" t="s">
        <v>24</v>
      </c>
      <c r="J251" s="77" t="s">
        <v>25</v>
      </c>
      <c r="K251" s="104"/>
      <c r="L251" s="104">
        <v>46157</v>
      </c>
      <c r="M251" s="77" t="s">
        <v>44</v>
      </c>
      <c r="N251" s="37"/>
      <c r="O251" s="37"/>
      <c r="P251" s="37">
        <v>1</v>
      </c>
      <c r="Q251" s="38"/>
      <c r="R251" s="38"/>
      <c r="S251" s="38"/>
    </row>
    <row r="252" spans="1:19" s="65" customFormat="1" ht="28.5" hidden="1" customHeight="1" x14ac:dyDescent="0.85">
      <c r="A252" s="29">
        <f t="shared" si="6"/>
        <v>2</v>
      </c>
      <c r="B252" s="47" t="s">
        <v>160</v>
      </c>
      <c r="C252" s="67" t="s">
        <v>269</v>
      </c>
      <c r="D252" s="43"/>
      <c r="E252" s="43"/>
      <c r="F252" s="70"/>
      <c r="G252" s="87"/>
      <c r="H252" s="42">
        <v>1</v>
      </c>
      <c r="I252" s="42" t="s">
        <v>24</v>
      </c>
      <c r="J252" s="42" t="s">
        <v>25</v>
      </c>
      <c r="K252" s="42" t="s">
        <v>25</v>
      </c>
      <c r="L252" s="42"/>
      <c r="M252" s="44" t="s">
        <v>44</v>
      </c>
      <c r="N252" s="64"/>
      <c r="O252" s="64"/>
      <c r="P252" s="64">
        <v>1</v>
      </c>
      <c r="Q252" s="48"/>
      <c r="R252" s="48"/>
      <c r="S252" s="48"/>
    </row>
    <row r="253" spans="1:19" s="65" customFormat="1" ht="28.5" hidden="1" customHeight="1" x14ac:dyDescent="0.85">
      <c r="A253" s="29">
        <f t="shared" si="6"/>
        <v>3</v>
      </c>
      <c r="B253" s="47" t="s">
        <v>248</v>
      </c>
      <c r="C253" s="67" t="s">
        <v>269</v>
      </c>
      <c r="D253" s="34"/>
      <c r="E253" s="73"/>
      <c r="F253" s="108"/>
      <c r="G253" s="108"/>
      <c r="H253" s="34">
        <v>1</v>
      </c>
      <c r="I253" s="34" t="s">
        <v>24</v>
      </c>
      <c r="J253" s="73" t="s">
        <v>19</v>
      </c>
      <c r="K253" s="73" t="s">
        <v>20</v>
      </c>
      <c r="L253" s="73"/>
      <c r="M253" s="109" t="s">
        <v>21</v>
      </c>
      <c r="N253" s="64"/>
      <c r="O253" s="64"/>
      <c r="P253" s="64">
        <v>1</v>
      </c>
      <c r="Q253" s="46"/>
      <c r="R253" s="46"/>
      <c r="S253" s="46"/>
    </row>
    <row r="254" spans="1:19" s="65" customFormat="1" ht="28.5" hidden="1" customHeight="1" x14ac:dyDescent="1.05">
      <c r="A254" s="29">
        <f t="shared" si="6"/>
        <v>4</v>
      </c>
      <c r="B254" s="47" t="s">
        <v>248</v>
      </c>
      <c r="C254" s="67" t="s">
        <v>269</v>
      </c>
      <c r="D254" s="34"/>
      <c r="E254" s="73"/>
      <c r="F254" s="108"/>
      <c r="G254" s="108"/>
      <c r="H254" s="34">
        <v>1</v>
      </c>
      <c r="I254" s="34" t="s">
        <v>24</v>
      </c>
      <c r="J254" s="73" t="s">
        <v>19</v>
      </c>
      <c r="K254" s="73" t="s">
        <v>20</v>
      </c>
      <c r="L254" s="73"/>
      <c r="M254" s="109" t="s">
        <v>21</v>
      </c>
      <c r="N254" s="64"/>
      <c r="O254" s="64"/>
      <c r="P254" s="64">
        <v>1</v>
      </c>
      <c r="Q254" s="38"/>
      <c r="R254" s="38"/>
      <c r="S254" s="38"/>
    </row>
    <row r="255" spans="1:19" s="65" customFormat="1" ht="28.5" hidden="1" customHeight="1" x14ac:dyDescent="0.85">
      <c r="A255" s="29">
        <f t="shared" si="6"/>
        <v>5</v>
      </c>
      <c r="B255" s="47" t="s">
        <v>329</v>
      </c>
      <c r="C255" s="67" t="s">
        <v>269</v>
      </c>
      <c r="D255" s="60"/>
      <c r="E255" s="60"/>
      <c r="F255" s="60"/>
      <c r="G255" s="60"/>
      <c r="H255" s="99">
        <v>1</v>
      </c>
      <c r="I255" s="60" t="s">
        <v>24</v>
      </c>
      <c r="J255" s="60" t="s">
        <v>19</v>
      </c>
      <c r="K255" s="63"/>
      <c r="L255" s="63"/>
      <c r="M255" s="60" t="s">
        <v>41</v>
      </c>
      <c r="N255" s="64"/>
      <c r="O255" s="64"/>
      <c r="P255" s="64">
        <v>1</v>
      </c>
      <c r="Q255" s="53"/>
      <c r="R255" s="53"/>
      <c r="S255" s="53"/>
    </row>
    <row r="256" spans="1:19" s="65" customFormat="1" ht="28.5" hidden="1" customHeight="1" x14ac:dyDescent="0.85">
      <c r="A256" s="29">
        <f t="shared" si="6"/>
        <v>6</v>
      </c>
      <c r="B256" s="47" t="s">
        <v>248</v>
      </c>
      <c r="C256" s="67" t="s">
        <v>269</v>
      </c>
      <c r="D256" s="60"/>
      <c r="E256" s="60"/>
      <c r="F256" s="60"/>
      <c r="G256" s="60"/>
      <c r="H256" s="99">
        <v>1</v>
      </c>
      <c r="I256" s="60" t="s">
        <v>24</v>
      </c>
      <c r="J256" s="60" t="s">
        <v>19</v>
      </c>
      <c r="K256" s="63"/>
      <c r="L256" s="63"/>
      <c r="M256" s="60" t="s">
        <v>41</v>
      </c>
      <c r="N256" s="64"/>
      <c r="O256" s="64"/>
      <c r="P256" s="64">
        <v>1</v>
      </c>
      <c r="Q256" s="53"/>
      <c r="R256" s="53"/>
      <c r="S256" s="53"/>
    </row>
    <row r="257" spans="1:19" s="65" customFormat="1" ht="28.5" hidden="1" customHeight="1" x14ac:dyDescent="0.85">
      <c r="A257" s="29"/>
      <c r="B257" s="47" t="s">
        <v>160</v>
      </c>
      <c r="C257" s="66" t="s">
        <v>330</v>
      </c>
      <c r="D257" s="49"/>
      <c r="E257" s="50"/>
      <c r="F257" s="49"/>
      <c r="G257" s="49"/>
      <c r="H257" s="49">
        <v>1</v>
      </c>
      <c r="I257" s="49" t="s">
        <v>24</v>
      </c>
      <c r="J257" s="49" t="s">
        <v>25</v>
      </c>
      <c r="K257" s="51">
        <v>46157</v>
      </c>
      <c r="L257" s="51"/>
      <c r="M257" s="62" t="s">
        <v>40</v>
      </c>
      <c r="N257" s="56"/>
      <c r="O257" s="56"/>
      <c r="P257" s="57">
        <v>1</v>
      </c>
      <c r="Q257" s="53"/>
      <c r="R257" s="53"/>
      <c r="S257" s="53"/>
    </row>
    <row r="258" spans="1:19" s="65" customFormat="1" ht="28.5" hidden="1" customHeight="1" x14ac:dyDescent="1.05">
      <c r="A258" s="29">
        <f>A256+1</f>
        <v>7</v>
      </c>
      <c r="B258" s="47" t="s">
        <v>331</v>
      </c>
      <c r="C258" s="66" t="s">
        <v>330</v>
      </c>
      <c r="D258" s="49"/>
      <c r="E258" s="50"/>
      <c r="F258" s="49"/>
      <c r="G258" s="49"/>
      <c r="H258" s="49">
        <v>1</v>
      </c>
      <c r="I258" s="49" t="s">
        <v>24</v>
      </c>
      <c r="J258" s="49" t="s">
        <v>25</v>
      </c>
      <c r="K258" s="51">
        <v>46157</v>
      </c>
      <c r="L258" s="51"/>
      <c r="M258" s="62" t="s">
        <v>44</v>
      </c>
      <c r="N258" s="56"/>
      <c r="O258" s="56"/>
      <c r="P258" s="57">
        <v>1</v>
      </c>
      <c r="Q258" s="38"/>
      <c r="R258" s="38"/>
      <c r="S258" s="38"/>
    </row>
    <row r="259" spans="1:19" s="65" customFormat="1" ht="28.5" hidden="1" customHeight="1" x14ac:dyDescent="1.05">
      <c r="A259" s="29">
        <f>A258+1</f>
        <v>8</v>
      </c>
      <c r="B259" s="47" t="s">
        <v>332</v>
      </c>
      <c r="C259" s="66" t="s">
        <v>330</v>
      </c>
      <c r="D259" s="32"/>
      <c r="E259" s="32"/>
      <c r="F259" s="33"/>
      <c r="G259" s="33"/>
      <c r="H259" s="35">
        <v>1</v>
      </c>
      <c r="I259" s="35" t="s">
        <v>333</v>
      </c>
      <c r="J259" s="32" t="s">
        <v>19</v>
      </c>
      <c r="K259" s="32" t="s">
        <v>20</v>
      </c>
      <c r="L259" s="32"/>
      <c r="M259" s="36" t="s">
        <v>21</v>
      </c>
      <c r="N259" s="37"/>
      <c r="O259" s="37"/>
      <c r="P259" s="37">
        <v>1</v>
      </c>
      <c r="Q259" s="46"/>
      <c r="R259" s="46"/>
      <c r="S259" s="46"/>
    </row>
    <row r="260" spans="1:19" s="65" customFormat="1" ht="28.5" hidden="1" customHeight="1" x14ac:dyDescent="0.85">
      <c r="A260" s="29">
        <f>A259+1</f>
        <v>9</v>
      </c>
      <c r="B260" s="47" t="s">
        <v>334</v>
      </c>
      <c r="C260" s="66" t="s">
        <v>330</v>
      </c>
      <c r="D260" s="60"/>
      <c r="E260" s="60"/>
      <c r="F260" s="60"/>
      <c r="G260" s="60"/>
      <c r="H260" s="60">
        <v>1</v>
      </c>
      <c r="I260" s="60" t="s">
        <v>333</v>
      </c>
      <c r="J260" s="60" t="s">
        <v>25</v>
      </c>
      <c r="K260" s="63"/>
      <c r="L260" s="63"/>
      <c r="M260" s="60" t="s">
        <v>41</v>
      </c>
      <c r="N260" s="56" t="s">
        <v>335</v>
      </c>
      <c r="O260" s="56"/>
      <c r="P260" s="57">
        <v>1</v>
      </c>
      <c r="Q260" s="48"/>
      <c r="R260" s="48"/>
      <c r="S260" s="48"/>
    </row>
    <row r="261" spans="1:19" s="65" customFormat="1" ht="28.5" hidden="1" customHeight="1" x14ac:dyDescent="0.85">
      <c r="A261" s="29">
        <f>A260+1</f>
        <v>10</v>
      </c>
      <c r="B261" s="47" t="s">
        <v>336</v>
      </c>
      <c r="C261" s="66" t="s">
        <v>330</v>
      </c>
      <c r="D261" s="60"/>
      <c r="E261" s="60"/>
      <c r="F261" s="60"/>
      <c r="G261" s="60"/>
      <c r="H261" s="60">
        <v>1</v>
      </c>
      <c r="I261" s="60" t="s">
        <v>333</v>
      </c>
      <c r="J261" s="60" t="s">
        <v>25</v>
      </c>
      <c r="K261" s="63"/>
      <c r="L261" s="63"/>
      <c r="M261" s="60" t="s">
        <v>41</v>
      </c>
      <c r="N261" s="64"/>
      <c r="O261" s="64"/>
      <c r="P261" s="64">
        <v>1</v>
      </c>
      <c r="Q261" s="53"/>
      <c r="R261" s="53"/>
      <c r="S261" s="53"/>
    </row>
    <row r="262" spans="1:19" s="65" customFormat="1" ht="34.5" hidden="1" customHeight="1" x14ac:dyDescent="0.85">
      <c r="A262" s="110">
        <f>A261+1</f>
        <v>11</v>
      </c>
      <c r="B262" s="58"/>
      <c r="C262" s="41" t="s">
        <v>337</v>
      </c>
      <c r="D262" s="42"/>
      <c r="E262" s="42"/>
      <c r="F262" s="36"/>
      <c r="G262" s="42"/>
      <c r="H262" s="71">
        <f>6+2+8+4+6-7-4</f>
        <v>15</v>
      </c>
      <c r="I262" s="43" t="s">
        <v>338</v>
      </c>
      <c r="J262" s="42" t="s">
        <v>25</v>
      </c>
      <c r="K262" s="42" t="s">
        <v>25</v>
      </c>
      <c r="L262" s="42"/>
      <c r="M262" s="44" t="s">
        <v>40</v>
      </c>
      <c r="N262" s="45"/>
      <c r="O262" s="45"/>
      <c r="P262" s="45">
        <v>1</v>
      </c>
      <c r="Q262" s="53"/>
      <c r="R262" s="53"/>
      <c r="S262" s="53"/>
    </row>
    <row r="263" spans="1:19" s="65" customFormat="1" ht="28.5" hidden="1" customHeight="1" x14ac:dyDescent="0.85">
      <c r="A263" s="111">
        <v>32</v>
      </c>
      <c r="B263" s="58"/>
      <c r="C263" s="41" t="s">
        <v>337</v>
      </c>
      <c r="D263" s="49"/>
      <c r="E263" s="50"/>
      <c r="F263" s="49"/>
      <c r="G263" s="49"/>
      <c r="H263" s="49">
        <v>10</v>
      </c>
      <c r="I263" s="49" t="s">
        <v>338</v>
      </c>
      <c r="J263" s="49" t="s">
        <v>25</v>
      </c>
      <c r="K263" s="51">
        <v>46159</v>
      </c>
      <c r="L263" s="51"/>
      <c r="M263" s="62" t="s">
        <v>44</v>
      </c>
      <c r="N263" s="56"/>
      <c r="O263" s="56"/>
      <c r="P263" s="57">
        <v>1</v>
      </c>
      <c r="Q263" s="53"/>
      <c r="R263" s="53"/>
      <c r="S263" s="53"/>
    </row>
    <row r="264" spans="1:19" s="65" customFormat="1" ht="28.5" hidden="1" customHeight="1" x14ac:dyDescent="1.05">
      <c r="A264" s="112">
        <f>A263+1</f>
        <v>33</v>
      </c>
      <c r="B264" s="58"/>
      <c r="C264" s="41" t="s">
        <v>337</v>
      </c>
      <c r="D264" s="32"/>
      <c r="E264" s="32"/>
      <c r="F264" s="33"/>
      <c r="G264" s="33"/>
      <c r="H264" s="35">
        <v>4</v>
      </c>
      <c r="I264" s="35" t="s">
        <v>338</v>
      </c>
      <c r="J264" s="32" t="s">
        <v>19</v>
      </c>
      <c r="K264" s="32" t="s">
        <v>20</v>
      </c>
      <c r="L264" s="32"/>
      <c r="M264" s="36" t="s">
        <v>21</v>
      </c>
      <c r="N264" s="37"/>
      <c r="O264" s="37"/>
      <c r="P264" s="37">
        <v>1</v>
      </c>
      <c r="Q264" s="48"/>
      <c r="R264" s="48"/>
      <c r="S264" s="48"/>
    </row>
    <row r="265" spans="1:19" s="65" customFormat="1" ht="28.5" hidden="1" customHeight="1" x14ac:dyDescent="0.85">
      <c r="A265" s="29">
        <f>A264+1</f>
        <v>34</v>
      </c>
      <c r="B265" s="58"/>
      <c r="C265" s="41" t="s">
        <v>337</v>
      </c>
      <c r="D265" s="60"/>
      <c r="E265" s="60"/>
      <c r="F265" s="60"/>
      <c r="G265" s="60"/>
      <c r="H265" s="60">
        <v>10</v>
      </c>
      <c r="I265" s="60" t="s">
        <v>338</v>
      </c>
      <c r="J265" s="60" t="s">
        <v>25</v>
      </c>
      <c r="K265" s="63"/>
      <c r="L265" s="63"/>
      <c r="M265" s="60" t="s">
        <v>41</v>
      </c>
      <c r="N265" s="64"/>
      <c r="O265" s="64"/>
      <c r="P265" s="64">
        <v>1</v>
      </c>
      <c r="Q265" s="48"/>
      <c r="R265" s="48"/>
      <c r="S265" s="48"/>
    </row>
    <row r="266" spans="1:19" s="65" customFormat="1" ht="28.5" hidden="1" customHeight="1" x14ac:dyDescent="0.85">
      <c r="A266" s="29">
        <v>42</v>
      </c>
      <c r="B266" s="113" t="s">
        <v>339</v>
      </c>
      <c r="C266" s="67" t="s">
        <v>340</v>
      </c>
      <c r="D266" s="49"/>
      <c r="E266" s="50"/>
      <c r="F266" s="36" t="s">
        <v>341</v>
      </c>
      <c r="G266" s="49"/>
      <c r="H266" s="49">
        <v>20</v>
      </c>
      <c r="I266" s="49" t="s">
        <v>338</v>
      </c>
      <c r="J266" s="49" t="s">
        <v>25</v>
      </c>
      <c r="K266" s="51">
        <v>46159</v>
      </c>
      <c r="L266" s="89"/>
      <c r="M266" s="62" t="s">
        <v>44</v>
      </c>
      <c r="N266" s="56"/>
      <c r="O266" s="56"/>
      <c r="P266" s="57">
        <v>1</v>
      </c>
      <c r="Q266" s="53"/>
      <c r="R266" s="53"/>
      <c r="S266" s="53"/>
    </row>
    <row r="267" spans="1:19" s="65" customFormat="1" ht="28.5" hidden="1" customHeight="1" x14ac:dyDescent="0.85">
      <c r="A267" s="29">
        <f>A266+1</f>
        <v>43</v>
      </c>
      <c r="B267" s="113" t="s">
        <v>342</v>
      </c>
      <c r="C267" s="67" t="s">
        <v>340</v>
      </c>
      <c r="D267" s="49"/>
      <c r="E267" s="50"/>
      <c r="F267" s="36" t="s">
        <v>341</v>
      </c>
      <c r="G267" s="49"/>
      <c r="H267" s="49">
        <v>20</v>
      </c>
      <c r="I267" s="49" t="s">
        <v>338</v>
      </c>
      <c r="J267" s="49" t="s">
        <v>25</v>
      </c>
      <c r="K267" s="51">
        <v>46156</v>
      </c>
      <c r="L267" s="89"/>
      <c r="M267" s="62" t="s">
        <v>44</v>
      </c>
      <c r="N267" s="56"/>
      <c r="O267" s="56"/>
      <c r="P267" s="57">
        <v>1</v>
      </c>
      <c r="Q267" s="53"/>
      <c r="R267" s="53"/>
      <c r="S267" s="53"/>
    </row>
    <row r="268" spans="1:19" ht="30" hidden="1" customHeight="1" x14ac:dyDescent="0.25">
      <c r="A268" s="114" t="e">
        <f>#REF!+1</f>
        <v>#REF!</v>
      </c>
      <c r="B268" s="113" t="s">
        <v>342</v>
      </c>
      <c r="C268" s="67" t="s">
        <v>340</v>
      </c>
      <c r="D268" s="49"/>
      <c r="E268" s="50"/>
      <c r="F268" s="36" t="s">
        <v>341</v>
      </c>
      <c r="G268" s="49"/>
      <c r="H268" s="49">
        <v>10</v>
      </c>
      <c r="I268" s="49" t="s">
        <v>338</v>
      </c>
      <c r="J268" s="49" t="s">
        <v>25</v>
      </c>
      <c r="K268" s="51">
        <v>46169</v>
      </c>
      <c r="L268" s="89"/>
      <c r="M268" s="62" t="s">
        <v>44</v>
      </c>
      <c r="N268" s="56"/>
      <c r="O268" s="56"/>
      <c r="P268" s="57">
        <v>1</v>
      </c>
    </row>
    <row r="269" spans="1:19" ht="30" hidden="1" customHeight="1" x14ac:dyDescent="1.05">
      <c r="A269" s="114" t="e">
        <f>A268+1</f>
        <v>#REF!</v>
      </c>
      <c r="B269" s="113"/>
      <c r="C269" s="67" t="s">
        <v>340</v>
      </c>
      <c r="D269" s="32"/>
      <c r="E269" s="32"/>
      <c r="F269" s="36" t="s">
        <v>341</v>
      </c>
      <c r="G269" s="33"/>
      <c r="H269" s="35">
        <v>58</v>
      </c>
      <c r="I269" s="35" t="s">
        <v>338</v>
      </c>
      <c r="J269" s="32" t="s">
        <v>105</v>
      </c>
      <c r="K269" s="32" t="s">
        <v>20</v>
      </c>
      <c r="L269" s="32"/>
      <c r="M269" s="36" t="s">
        <v>21</v>
      </c>
      <c r="N269" s="37"/>
      <c r="O269" s="37"/>
      <c r="P269" s="37">
        <v>1</v>
      </c>
    </row>
    <row r="270" spans="1:19" ht="30" hidden="1" customHeight="1" x14ac:dyDescent="0.85">
      <c r="A270" s="114">
        <v>41</v>
      </c>
      <c r="B270" s="113"/>
      <c r="C270" s="67" t="s">
        <v>340</v>
      </c>
      <c r="D270" s="42"/>
      <c r="E270" s="42"/>
      <c r="F270" s="36" t="s">
        <v>341</v>
      </c>
      <c r="G270" s="42"/>
      <c r="H270" s="42">
        <f>10+7+15+12+15+1-5-1+10-1+1-15-10</f>
        <v>39</v>
      </c>
      <c r="I270" s="43" t="s">
        <v>338</v>
      </c>
      <c r="J270" s="42" t="s">
        <v>19</v>
      </c>
      <c r="K270" s="42" t="s">
        <v>19</v>
      </c>
      <c r="L270" s="42"/>
      <c r="M270" s="60" t="s">
        <v>41</v>
      </c>
      <c r="N270" s="45"/>
      <c r="O270" s="45"/>
      <c r="P270" s="45">
        <v>1</v>
      </c>
      <c r="Q270" s="53"/>
      <c r="R270" s="53"/>
      <c r="S270" s="53"/>
    </row>
    <row r="271" spans="1:19" ht="30" hidden="1" customHeight="1" x14ac:dyDescent="0.85">
      <c r="A271" s="114">
        <f>A270+1</f>
        <v>42</v>
      </c>
      <c r="B271" s="113"/>
      <c r="C271" s="67" t="s">
        <v>340</v>
      </c>
      <c r="D271" s="60"/>
      <c r="E271" s="60"/>
      <c r="F271" s="60" t="s">
        <v>341</v>
      </c>
      <c r="G271" s="60"/>
      <c r="H271" s="60">
        <v>35</v>
      </c>
      <c r="I271" s="60" t="s">
        <v>338</v>
      </c>
      <c r="J271" s="60" t="s">
        <v>25</v>
      </c>
      <c r="K271" s="51"/>
      <c r="L271" s="63"/>
      <c r="M271" s="60" t="s">
        <v>41</v>
      </c>
      <c r="N271" s="64"/>
      <c r="O271" s="64"/>
      <c r="P271" s="64">
        <v>1</v>
      </c>
    </row>
    <row r="272" spans="1:19" ht="30" hidden="1" customHeight="1" x14ac:dyDescent="0.85">
      <c r="A272" s="114">
        <f>A271+1</f>
        <v>43</v>
      </c>
      <c r="B272" s="43" t="s">
        <v>343</v>
      </c>
      <c r="C272" s="93" t="s">
        <v>344</v>
      </c>
      <c r="D272" s="115"/>
      <c r="E272" s="115"/>
      <c r="F272" s="36" t="s">
        <v>345</v>
      </c>
      <c r="G272" s="116"/>
      <c r="H272" s="116">
        <v>10</v>
      </c>
      <c r="I272" s="117" t="s">
        <v>338</v>
      </c>
      <c r="J272" s="42" t="s">
        <v>346</v>
      </c>
      <c r="K272" s="51"/>
      <c r="L272" s="88"/>
      <c r="M272" s="44" t="s">
        <v>40</v>
      </c>
      <c r="N272" s="45"/>
      <c r="O272" s="45"/>
      <c r="P272" s="45"/>
      <c r="Q272" s="53"/>
      <c r="R272" s="53"/>
      <c r="S272" s="53"/>
    </row>
    <row r="273" spans="1:19" ht="30" hidden="1" customHeight="1" x14ac:dyDescent="0.25">
      <c r="A273" s="114">
        <f>A272+1</f>
        <v>44</v>
      </c>
      <c r="B273" s="118" t="s">
        <v>347</v>
      </c>
      <c r="C273" s="93" t="s">
        <v>344</v>
      </c>
      <c r="D273" s="42"/>
      <c r="E273" s="42"/>
      <c r="F273" s="36" t="s">
        <v>345</v>
      </c>
      <c r="G273" s="42"/>
      <c r="H273" s="42">
        <v>30</v>
      </c>
      <c r="I273" s="43" t="s">
        <v>338</v>
      </c>
      <c r="J273" s="42" t="s">
        <v>346</v>
      </c>
      <c r="K273" s="51"/>
      <c r="L273" s="88"/>
      <c r="M273" s="44" t="s">
        <v>40</v>
      </c>
      <c r="N273" s="45"/>
      <c r="O273" s="45"/>
      <c r="P273" s="45"/>
      <c r="Q273" s="48"/>
      <c r="R273" s="48"/>
      <c r="S273" s="48"/>
    </row>
    <row r="274" spans="1:19" ht="30" hidden="1" customHeight="1" x14ac:dyDescent="0.25">
      <c r="A274" s="114">
        <v>43</v>
      </c>
      <c r="B274" s="119" t="s">
        <v>348</v>
      </c>
      <c r="C274" s="93" t="s">
        <v>344</v>
      </c>
      <c r="D274" s="42"/>
      <c r="E274" s="42"/>
      <c r="F274" s="36" t="s">
        <v>345</v>
      </c>
      <c r="G274" s="42">
        <f>92+30+10</f>
        <v>132</v>
      </c>
      <c r="H274" s="42">
        <f>33+10+10+10+10+10+9</f>
        <v>92</v>
      </c>
      <c r="I274" s="43" t="s">
        <v>338</v>
      </c>
      <c r="J274" s="42" t="s">
        <v>346</v>
      </c>
      <c r="K274" s="51"/>
      <c r="L274" s="88"/>
      <c r="M274" s="44" t="s">
        <v>40</v>
      </c>
      <c r="N274" s="45"/>
      <c r="O274" s="45"/>
      <c r="P274" s="45"/>
      <c r="Q274" s="48"/>
      <c r="R274" s="48"/>
      <c r="S274" s="48"/>
    </row>
    <row r="275" spans="1:19" ht="30" hidden="1" customHeight="1" x14ac:dyDescent="0.85">
      <c r="A275" s="114">
        <f t="shared" ref="A275:A284" si="7">A274+1</f>
        <v>44</v>
      </c>
      <c r="B275" s="60"/>
      <c r="C275" s="63" t="s">
        <v>344</v>
      </c>
      <c r="D275" s="60"/>
      <c r="E275" s="60"/>
      <c r="F275" s="60"/>
      <c r="G275" s="60"/>
      <c r="H275" s="60">
        <v>10</v>
      </c>
      <c r="I275" s="60" t="s">
        <v>338</v>
      </c>
      <c r="J275" s="60" t="s">
        <v>25</v>
      </c>
      <c r="K275" s="51"/>
      <c r="L275" s="63"/>
      <c r="M275" s="60" t="s">
        <v>41</v>
      </c>
      <c r="N275" s="64"/>
      <c r="O275" s="64"/>
      <c r="P275" s="64"/>
      <c r="Q275" s="48"/>
      <c r="R275" s="48"/>
      <c r="S275" s="48"/>
    </row>
    <row r="276" spans="1:19" ht="30" hidden="1" customHeight="1" x14ac:dyDescent="0.85">
      <c r="A276" s="114">
        <f t="shared" si="7"/>
        <v>45</v>
      </c>
      <c r="B276" s="58"/>
      <c r="C276" s="41" t="s">
        <v>349</v>
      </c>
      <c r="D276" s="43"/>
      <c r="E276" s="43"/>
      <c r="F276" s="43" t="s">
        <v>350</v>
      </c>
      <c r="G276" s="43"/>
      <c r="H276" s="43">
        <v>1</v>
      </c>
      <c r="I276" s="43" t="s">
        <v>201</v>
      </c>
      <c r="J276" s="42" t="s">
        <v>25</v>
      </c>
      <c r="K276" s="42" t="s">
        <v>25</v>
      </c>
      <c r="L276" s="42"/>
      <c r="M276" s="44" t="s">
        <v>40</v>
      </c>
      <c r="N276" s="45"/>
      <c r="O276" s="45"/>
      <c r="P276" s="45">
        <v>1</v>
      </c>
      <c r="Q276" s="53"/>
      <c r="R276" s="53"/>
      <c r="S276" s="53"/>
    </row>
    <row r="277" spans="1:19" ht="30" hidden="1" customHeight="1" x14ac:dyDescent="0.85">
      <c r="A277" s="114">
        <f t="shared" si="7"/>
        <v>46</v>
      </c>
      <c r="B277" s="58"/>
      <c r="C277" s="41" t="s">
        <v>349</v>
      </c>
      <c r="D277" s="43"/>
      <c r="E277" s="43"/>
      <c r="F277" s="43" t="s">
        <v>350</v>
      </c>
      <c r="G277" s="43"/>
      <c r="H277" s="43">
        <v>1</v>
      </c>
      <c r="I277" s="43" t="s">
        <v>201</v>
      </c>
      <c r="J277" s="42" t="s">
        <v>25</v>
      </c>
      <c r="K277" s="42" t="s">
        <v>25</v>
      </c>
      <c r="L277" s="42"/>
      <c r="M277" s="44" t="s">
        <v>40</v>
      </c>
      <c r="N277" s="45"/>
      <c r="O277" s="45"/>
      <c r="P277" s="45">
        <v>1</v>
      </c>
      <c r="Q277" s="53"/>
      <c r="R277" s="53"/>
      <c r="S277" s="53"/>
    </row>
    <row r="278" spans="1:19" ht="30" hidden="1" customHeight="1" x14ac:dyDescent="0.85">
      <c r="A278" s="114">
        <f t="shared" si="7"/>
        <v>47</v>
      </c>
      <c r="B278" s="58"/>
      <c r="C278" s="41" t="s">
        <v>349</v>
      </c>
      <c r="D278" s="43"/>
      <c r="E278" s="43"/>
      <c r="F278" s="43" t="s">
        <v>350</v>
      </c>
      <c r="G278" s="43"/>
      <c r="H278" s="43">
        <v>1</v>
      </c>
      <c r="I278" s="43" t="s">
        <v>201</v>
      </c>
      <c r="J278" s="42" t="s">
        <v>25</v>
      </c>
      <c r="K278" s="42" t="s">
        <v>25</v>
      </c>
      <c r="L278" s="42"/>
      <c r="M278" s="44" t="s">
        <v>40</v>
      </c>
      <c r="N278" s="45"/>
      <c r="O278" s="45"/>
      <c r="P278" s="45">
        <v>1</v>
      </c>
      <c r="Q278" s="53"/>
      <c r="R278" s="53"/>
      <c r="S278" s="53"/>
    </row>
    <row r="279" spans="1:19" ht="30" hidden="1" customHeight="1" x14ac:dyDescent="0.3">
      <c r="A279" s="114">
        <f t="shared" si="7"/>
        <v>48</v>
      </c>
      <c r="B279" s="58"/>
      <c r="C279" s="41" t="s">
        <v>349</v>
      </c>
      <c r="D279" s="43"/>
      <c r="E279" s="43"/>
      <c r="F279" s="43" t="s">
        <v>350</v>
      </c>
      <c r="G279" s="43"/>
      <c r="H279" s="43">
        <v>1</v>
      </c>
      <c r="I279" s="43" t="s">
        <v>201</v>
      </c>
      <c r="J279" s="42" t="s">
        <v>25</v>
      </c>
      <c r="K279" s="42" t="s">
        <v>25</v>
      </c>
      <c r="L279" s="42"/>
      <c r="M279" s="44" t="s">
        <v>40</v>
      </c>
      <c r="N279" s="45"/>
      <c r="O279" s="45"/>
      <c r="P279" s="45">
        <v>1</v>
      </c>
    </row>
    <row r="280" spans="1:19" ht="30" hidden="1" customHeight="1" x14ac:dyDescent="0.85">
      <c r="A280" s="114">
        <f t="shared" si="7"/>
        <v>49</v>
      </c>
      <c r="B280" s="58"/>
      <c r="C280" s="41" t="s">
        <v>349</v>
      </c>
      <c r="D280" s="43"/>
      <c r="E280" s="43"/>
      <c r="F280" s="43" t="s">
        <v>350</v>
      </c>
      <c r="G280" s="43"/>
      <c r="H280" s="43">
        <v>1</v>
      </c>
      <c r="I280" s="43" t="s">
        <v>201</v>
      </c>
      <c r="J280" s="42" t="s">
        <v>25</v>
      </c>
      <c r="K280" s="42" t="s">
        <v>25</v>
      </c>
      <c r="L280" s="42"/>
      <c r="M280" s="44" t="s">
        <v>40</v>
      </c>
      <c r="N280" s="45"/>
      <c r="O280" s="45"/>
      <c r="P280" s="45">
        <v>1</v>
      </c>
      <c r="Q280" s="53"/>
      <c r="R280" s="53"/>
      <c r="S280" s="53"/>
    </row>
    <row r="281" spans="1:19" ht="30" hidden="1" customHeight="1" x14ac:dyDescent="1.05">
      <c r="A281" s="114">
        <f t="shared" si="7"/>
        <v>50</v>
      </c>
      <c r="B281" s="58"/>
      <c r="C281" s="41" t="s">
        <v>349</v>
      </c>
      <c r="D281" s="43"/>
      <c r="E281" s="43"/>
      <c r="F281" s="43" t="s">
        <v>350</v>
      </c>
      <c r="G281" s="43"/>
      <c r="H281" s="43">
        <v>1</v>
      </c>
      <c r="I281" s="43" t="s">
        <v>201</v>
      </c>
      <c r="J281" s="42" t="s">
        <v>25</v>
      </c>
      <c r="K281" s="42" t="s">
        <v>25</v>
      </c>
      <c r="L281" s="42"/>
      <c r="M281" s="44" t="s">
        <v>40</v>
      </c>
      <c r="N281" s="45"/>
      <c r="O281" s="45"/>
      <c r="P281" s="45">
        <v>1</v>
      </c>
      <c r="Q281" s="38"/>
      <c r="R281" s="38"/>
      <c r="S281" s="38"/>
    </row>
    <row r="282" spans="1:19" ht="30" hidden="1" customHeight="1" x14ac:dyDescent="0.85">
      <c r="A282" s="114">
        <f t="shared" si="7"/>
        <v>51</v>
      </c>
      <c r="B282" s="58"/>
      <c r="C282" s="41" t="s">
        <v>349</v>
      </c>
      <c r="D282" s="49"/>
      <c r="E282" s="50"/>
      <c r="F282" s="49" t="s">
        <v>350</v>
      </c>
      <c r="G282" s="49"/>
      <c r="H282" s="49">
        <v>2</v>
      </c>
      <c r="I282" s="49" t="s">
        <v>201</v>
      </c>
      <c r="J282" s="49" t="s">
        <v>25</v>
      </c>
      <c r="K282" s="51"/>
      <c r="L282" s="51">
        <v>46159</v>
      </c>
      <c r="M282" s="62" t="s">
        <v>44</v>
      </c>
      <c r="N282" s="56"/>
      <c r="O282" s="56"/>
      <c r="P282" s="57">
        <v>1</v>
      </c>
      <c r="Q282" s="53"/>
      <c r="R282" s="53"/>
      <c r="S282" s="53"/>
    </row>
    <row r="283" spans="1:19" ht="30" hidden="1" customHeight="1" x14ac:dyDescent="1.05">
      <c r="A283" s="114">
        <f t="shared" si="7"/>
        <v>52</v>
      </c>
      <c r="B283" s="30"/>
      <c r="C283" s="41" t="s">
        <v>349</v>
      </c>
      <c r="D283" s="32"/>
      <c r="E283" s="32"/>
      <c r="F283" s="43" t="s">
        <v>350</v>
      </c>
      <c r="G283" s="33"/>
      <c r="H283" s="35">
        <v>1</v>
      </c>
      <c r="I283" s="35" t="s">
        <v>201</v>
      </c>
      <c r="J283" s="32" t="s">
        <v>19</v>
      </c>
      <c r="K283" s="32" t="s">
        <v>20</v>
      </c>
      <c r="L283" s="32"/>
      <c r="M283" s="36" t="s">
        <v>21</v>
      </c>
      <c r="N283" s="37"/>
      <c r="O283" s="37"/>
      <c r="P283" s="37">
        <v>1</v>
      </c>
      <c r="Q283" s="38"/>
      <c r="R283" s="38"/>
      <c r="S283" s="38"/>
    </row>
    <row r="284" spans="1:19" ht="30" hidden="1" customHeight="1" x14ac:dyDescent="1.05">
      <c r="A284" s="114">
        <f t="shared" si="7"/>
        <v>53</v>
      </c>
      <c r="B284" s="30"/>
      <c r="C284" s="41" t="s">
        <v>349</v>
      </c>
      <c r="D284" s="32"/>
      <c r="E284" s="32"/>
      <c r="F284" s="33" t="s">
        <v>351</v>
      </c>
      <c r="G284" s="33"/>
      <c r="H284" s="35">
        <v>2</v>
      </c>
      <c r="I284" s="35" t="s">
        <v>201</v>
      </c>
      <c r="J284" s="32" t="s">
        <v>19</v>
      </c>
      <c r="K284" s="32" t="s">
        <v>20</v>
      </c>
      <c r="L284" s="32"/>
      <c r="M284" s="36" t="s">
        <v>21</v>
      </c>
      <c r="N284" s="37"/>
      <c r="O284" s="37"/>
      <c r="P284" s="37">
        <v>1</v>
      </c>
      <c r="Q284" s="38"/>
      <c r="R284" s="38"/>
      <c r="S284" s="38"/>
    </row>
    <row r="285" spans="1:19" ht="30" hidden="1" customHeight="1" x14ac:dyDescent="0.85">
      <c r="A285" s="65"/>
      <c r="B285" s="30"/>
      <c r="C285" s="41" t="s">
        <v>352</v>
      </c>
      <c r="D285" s="60"/>
      <c r="E285" s="60"/>
      <c r="F285" s="49" t="s">
        <v>350</v>
      </c>
      <c r="G285" s="60"/>
      <c r="H285" s="60">
        <v>2</v>
      </c>
      <c r="I285" s="49" t="s">
        <v>24</v>
      </c>
      <c r="J285" s="49" t="s">
        <v>25</v>
      </c>
      <c r="K285" s="51"/>
      <c r="L285" s="51"/>
      <c r="M285" s="44" t="s">
        <v>33</v>
      </c>
      <c r="N285" s="64"/>
      <c r="O285" s="64"/>
      <c r="P285" s="64">
        <v>1</v>
      </c>
      <c r="Q285" s="53"/>
      <c r="R285" s="53"/>
      <c r="S285" s="53"/>
    </row>
    <row r="286" spans="1:19" ht="30" hidden="1" customHeight="1" x14ac:dyDescent="0.3">
      <c r="A286" s="114">
        <v>13</v>
      </c>
      <c r="B286" s="96"/>
      <c r="C286" s="72" t="s">
        <v>353</v>
      </c>
      <c r="D286" s="93" t="s">
        <v>354</v>
      </c>
      <c r="E286" s="42" t="s">
        <v>355</v>
      </c>
      <c r="F286" s="42"/>
      <c r="G286" s="70" t="s">
        <v>356</v>
      </c>
      <c r="H286" s="42">
        <v>1</v>
      </c>
      <c r="I286" s="43" t="s">
        <v>70</v>
      </c>
      <c r="J286" s="42" t="s">
        <v>25</v>
      </c>
      <c r="K286" s="42" t="s">
        <v>25</v>
      </c>
      <c r="L286" s="120"/>
      <c r="M286" s="44" t="s">
        <v>40</v>
      </c>
      <c r="N286" s="68"/>
      <c r="O286" s="68"/>
      <c r="P286" s="68">
        <v>1</v>
      </c>
      <c r="Q286" s="68"/>
      <c r="R286" s="68"/>
      <c r="S286" s="68"/>
    </row>
    <row r="287" spans="1:19" ht="30" hidden="1" customHeight="1" x14ac:dyDescent="0.3">
      <c r="A287" s="114">
        <f>A286+1</f>
        <v>14</v>
      </c>
      <c r="B287" s="96"/>
      <c r="C287" s="72" t="s">
        <v>353</v>
      </c>
      <c r="D287" s="93" t="s">
        <v>354</v>
      </c>
      <c r="E287" s="42" t="s">
        <v>355</v>
      </c>
      <c r="F287" s="42"/>
      <c r="G287" s="70" t="s">
        <v>357</v>
      </c>
      <c r="H287" s="42">
        <v>1</v>
      </c>
      <c r="I287" s="43" t="s">
        <v>70</v>
      </c>
      <c r="J287" s="42" t="s">
        <v>25</v>
      </c>
      <c r="K287" s="42" t="s">
        <v>25</v>
      </c>
      <c r="L287" s="120"/>
      <c r="M287" s="44" t="s">
        <v>40</v>
      </c>
      <c r="N287" s="68"/>
      <c r="O287" s="68"/>
      <c r="P287" s="68">
        <v>1</v>
      </c>
      <c r="Q287" s="68"/>
      <c r="R287" s="68"/>
      <c r="S287" s="68"/>
    </row>
    <row r="288" spans="1:19" ht="30" hidden="1" customHeight="1" x14ac:dyDescent="1.05">
      <c r="A288" s="114">
        <f>A287+1</f>
        <v>15</v>
      </c>
      <c r="B288" s="96"/>
      <c r="C288" s="72" t="s">
        <v>353</v>
      </c>
      <c r="D288" s="32"/>
      <c r="E288" s="32"/>
      <c r="F288" s="33"/>
      <c r="G288" s="33" t="s">
        <v>358</v>
      </c>
      <c r="H288" s="35">
        <v>1</v>
      </c>
      <c r="I288" s="35" t="s">
        <v>70</v>
      </c>
      <c r="J288" s="32" t="s">
        <v>19</v>
      </c>
      <c r="K288" s="32" t="s">
        <v>20</v>
      </c>
      <c r="L288" s="32"/>
      <c r="M288" s="36" t="s">
        <v>21</v>
      </c>
      <c r="N288" s="38"/>
      <c r="O288" s="38"/>
      <c r="P288" s="38">
        <v>1</v>
      </c>
    </row>
    <row r="289" spans="1:19" ht="30" hidden="1" customHeight="1" x14ac:dyDescent="1.05">
      <c r="A289" s="114">
        <v>14</v>
      </c>
      <c r="B289" s="96"/>
      <c r="C289" s="121" t="s">
        <v>359</v>
      </c>
      <c r="D289" s="60"/>
      <c r="E289" s="60"/>
      <c r="F289" s="60"/>
      <c r="G289" s="60" t="s">
        <v>360</v>
      </c>
      <c r="H289" s="60">
        <v>1</v>
      </c>
      <c r="I289" s="60" t="s">
        <v>70</v>
      </c>
      <c r="J289" s="60" t="s">
        <v>25</v>
      </c>
      <c r="K289" s="63"/>
      <c r="L289" s="63"/>
      <c r="M289" s="60" t="s">
        <v>41</v>
      </c>
      <c r="N289" s="53"/>
      <c r="O289" s="53"/>
      <c r="P289" s="53">
        <v>1</v>
      </c>
      <c r="Q289" s="38"/>
      <c r="R289" s="38"/>
      <c r="S289" s="38"/>
    </row>
    <row r="290" spans="1:19" ht="30" customHeight="1" x14ac:dyDescent="0.85">
      <c r="A290" s="32">
        <f>A289+1</f>
        <v>15</v>
      </c>
      <c r="B290" s="47" t="s">
        <v>160</v>
      </c>
      <c r="C290" s="67" t="s">
        <v>269</v>
      </c>
      <c r="D290" s="42"/>
      <c r="E290" s="42"/>
      <c r="F290" s="36"/>
      <c r="G290" s="42"/>
      <c r="H290" s="99">
        <v>1</v>
      </c>
      <c r="I290" s="60" t="s">
        <v>24</v>
      </c>
      <c r="J290" s="42"/>
      <c r="K290" s="42"/>
      <c r="L290" s="42"/>
      <c r="M290" s="60" t="s">
        <v>26</v>
      </c>
      <c r="N290" s="102"/>
      <c r="O290" s="102"/>
      <c r="P290" s="106">
        <v>1</v>
      </c>
    </row>
    <row r="291" spans="1:19" ht="30" customHeight="1" x14ac:dyDescent="0.25">
      <c r="A291" s="32" t="e">
        <f>#REF!+1</f>
        <v>#REF!</v>
      </c>
      <c r="B291" s="58"/>
      <c r="C291" s="41" t="s">
        <v>129</v>
      </c>
      <c r="D291" s="42"/>
      <c r="E291" s="42"/>
      <c r="F291" s="36"/>
      <c r="G291" s="42"/>
      <c r="H291" s="42">
        <v>1</v>
      </c>
      <c r="I291" s="43" t="s">
        <v>61</v>
      </c>
      <c r="J291" s="42" t="s">
        <v>25</v>
      </c>
      <c r="K291" s="42"/>
      <c r="L291" s="42"/>
      <c r="M291" s="44" t="s">
        <v>26</v>
      </c>
      <c r="N291" s="45"/>
      <c r="O291" s="45"/>
      <c r="P291" s="46">
        <v>1</v>
      </c>
      <c r="Q291" s="48"/>
      <c r="R291" s="48"/>
      <c r="S291" s="48"/>
    </row>
    <row r="292" spans="1:19" ht="30" customHeight="1" x14ac:dyDescent="0.85">
      <c r="A292" s="32" t="e">
        <f>#REF!+1</f>
        <v>#REF!</v>
      </c>
      <c r="B292" s="78"/>
      <c r="C292" s="66" t="s">
        <v>152</v>
      </c>
      <c r="D292" s="49"/>
      <c r="E292" s="50"/>
      <c r="F292" s="49"/>
      <c r="G292" s="49"/>
      <c r="H292" s="49">
        <v>1</v>
      </c>
      <c r="I292" s="49" t="s">
        <v>153</v>
      </c>
      <c r="J292" s="49"/>
      <c r="K292" s="51"/>
      <c r="L292" s="51"/>
      <c r="M292" s="62" t="s">
        <v>26</v>
      </c>
      <c r="N292" s="56"/>
      <c r="O292" s="56"/>
      <c r="P292" s="48">
        <v>1</v>
      </c>
      <c r="Q292" s="48"/>
      <c r="R292" s="48"/>
      <c r="S292" s="48"/>
    </row>
    <row r="293" spans="1:19" ht="30" customHeight="1" x14ac:dyDescent="0.85">
      <c r="A293" s="32" t="e">
        <f>A292+1</f>
        <v>#REF!</v>
      </c>
      <c r="B293" s="78"/>
      <c r="C293" s="66" t="s">
        <v>152</v>
      </c>
      <c r="D293" s="49"/>
      <c r="E293" s="50"/>
      <c r="F293" s="49"/>
      <c r="G293" s="49"/>
      <c r="H293" s="49">
        <v>1</v>
      </c>
      <c r="I293" s="49" t="s">
        <v>153</v>
      </c>
      <c r="J293" s="49"/>
      <c r="K293" s="51"/>
      <c r="L293" s="51"/>
      <c r="M293" s="62" t="s">
        <v>26</v>
      </c>
      <c r="N293" s="56"/>
      <c r="O293" s="56"/>
      <c r="P293" s="48">
        <v>1</v>
      </c>
      <c r="Q293" s="48"/>
      <c r="R293" s="48"/>
      <c r="S293" s="48"/>
    </row>
    <row r="294" spans="1:19" ht="30" customHeight="1" x14ac:dyDescent="0.3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</row>
    <row r="295" spans="1:19" ht="30" customHeight="1" x14ac:dyDescent="0.3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</row>
    <row r="296" spans="1:19" ht="30" customHeight="1" x14ac:dyDescent="0.3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</row>
    <row r="297" spans="1:19" ht="30" customHeight="1" x14ac:dyDescent="0.3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</row>
    <row r="298" spans="1:19" ht="30" customHeight="1" x14ac:dyDescent="0.3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</row>
    <row r="299" spans="1:19" ht="30" customHeight="1" x14ac:dyDescent="0.3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</row>
    <row r="300" spans="1:19" ht="30" customHeight="1" x14ac:dyDescent="0.3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</row>
    <row r="301" spans="1:19" ht="30" customHeight="1" x14ac:dyDescent="0.3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</row>
    <row r="302" spans="1:19" ht="30" customHeight="1" x14ac:dyDescent="0.3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</row>
    <row r="303" spans="1:19" ht="30" customHeight="1" x14ac:dyDescent="0.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</row>
    <row r="304" spans="1:19" ht="30" customHeight="1" x14ac:dyDescent="0.3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</row>
    <row r="305" spans="1:12" ht="30" customHeight="1" x14ac:dyDescent="0.3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</row>
    <row r="306" spans="1:12" ht="30" customHeight="1" x14ac:dyDescent="0.3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</row>
    <row r="307" spans="1:12" ht="30" customHeight="1" x14ac:dyDescent="0.3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</row>
    <row r="308" spans="1:12" ht="30" customHeight="1" x14ac:dyDescent="0.3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</row>
    <row r="309" spans="1:12" ht="30" customHeight="1" x14ac:dyDescent="0.3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</row>
    <row r="310" spans="1:12" ht="30" customHeight="1" x14ac:dyDescent="0.3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</row>
    <row r="311" spans="1:12" ht="30" customHeight="1" x14ac:dyDescent="0.3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</row>
    <row r="312" spans="1:12" ht="30" customHeight="1" x14ac:dyDescent="0.3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</row>
    <row r="313" spans="1:12" ht="30" customHeight="1" x14ac:dyDescent="0.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</row>
    <row r="314" spans="1:12" ht="30" customHeight="1" x14ac:dyDescent="0.3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</row>
    <row r="315" spans="1:12" ht="30" customHeight="1" x14ac:dyDescent="0.3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</row>
    <row r="316" spans="1:12" ht="30" customHeight="1" x14ac:dyDescent="0.3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</row>
    <row r="317" spans="1:12" ht="30" customHeight="1" x14ac:dyDescent="0.3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</row>
    <row r="318" spans="1:12" ht="30" customHeight="1" x14ac:dyDescent="0.3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</row>
    <row r="319" spans="1:12" ht="30" customHeight="1" x14ac:dyDescent="0.3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</row>
    <row r="320" spans="1:12" ht="30" customHeight="1" x14ac:dyDescent="0.3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</row>
    <row r="321" spans="1:12" ht="30" customHeight="1" x14ac:dyDescent="0.3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</row>
    <row r="322" spans="1:12" ht="30" customHeight="1" x14ac:dyDescent="0.3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</row>
    <row r="323" spans="1:12" ht="30" customHeight="1" x14ac:dyDescent="0.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</row>
    <row r="324" spans="1:12" ht="30" customHeight="1" x14ac:dyDescent="0.3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</row>
    <row r="325" spans="1:12" ht="30" customHeight="1" x14ac:dyDescent="0.3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</row>
    <row r="326" spans="1:12" ht="30" customHeight="1" x14ac:dyDescent="0.3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</row>
    <row r="327" spans="1:12" ht="30" customHeight="1" x14ac:dyDescent="0.3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</row>
    <row r="328" spans="1:12" ht="30" customHeight="1" x14ac:dyDescent="0.3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</row>
    <row r="329" spans="1:12" ht="30" customHeight="1" x14ac:dyDescent="0.3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</row>
    <row r="330" spans="1:12" ht="30" customHeight="1" x14ac:dyDescent="0.3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</row>
    <row r="331" spans="1:12" ht="30" customHeight="1" x14ac:dyDescent="0.3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</row>
    <row r="332" spans="1:12" ht="30" customHeight="1" x14ac:dyDescent="0.3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</row>
    <row r="333" spans="1:12" ht="30" customHeight="1" x14ac:dyDescent="0.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</row>
    <row r="334" spans="1:12" ht="30" customHeight="1" x14ac:dyDescent="0.3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</row>
    <row r="335" spans="1:12" ht="30" customHeight="1" x14ac:dyDescent="0.3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</row>
    <row r="336" spans="1:12" ht="30" customHeight="1" x14ac:dyDescent="0.3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</row>
    <row r="337" spans="1:12" ht="30" customHeight="1" x14ac:dyDescent="0.3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</row>
    <row r="338" spans="1:12" ht="30" customHeight="1" x14ac:dyDescent="0.3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</row>
    <row r="339" spans="1:12" ht="30" customHeight="1" x14ac:dyDescent="0.3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</row>
    <row r="340" spans="1:12" ht="30" customHeight="1" x14ac:dyDescent="0.3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</row>
    <row r="341" spans="1:12" ht="30" customHeight="1" x14ac:dyDescent="0.3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</row>
    <row r="342" spans="1:12" ht="30" customHeight="1" x14ac:dyDescent="0.3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</row>
    <row r="343" spans="1:12" ht="30" customHeight="1" x14ac:dyDescent="0.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</row>
    <row r="344" spans="1:12" ht="30" customHeight="1" x14ac:dyDescent="0.3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</row>
    <row r="345" spans="1:12" ht="30" customHeight="1" x14ac:dyDescent="0.3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</row>
    <row r="346" spans="1:12" ht="30" customHeight="1" x14ac:dyDescent="0.3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</row>
    <row r="347" spans="1:12" ht="30" customHeight="1" x14ac:dyDescent="0.3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</row>
    <row r="348" spans="1:12" ht="30" customHeight="1" x14ac:dyDescent="0.3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</row>
    <row r="349" spans="1:12" ht="30" customHeight="1" x14ac:dyDescent="0.3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</row>
    <row r="350" spans="1:12" ht="30" customHeight="1" x14ac:dyDescent="0.3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</row>
    <row r="351" spans="1:12" ht="30" customHeight="1" x14ac:dyDescent="0.3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</row>
    <row r="352" spans="1:12" ht="30" customHeight="1" x14ac:dyDescent="0.3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</row>
    <row r="353" spans="1:12" ht="30" customHeight="1" x14ac:dyDescent="0.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</row>
    <row r="354" spans="1:12" ht="30" customHeight="1" x14ac:dyDescent="0.3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</row>
    <row r="355" spans="1:12" ht="30" customHeight="1" x14ac:dyDescent="0.3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</row>
    <row r="356" spans="1:12" ht="30" customHeight="1" x14ac:dyDescent="0.3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</row>
    <row r="357" spans="1:12" ht="30" customHeight="1" x14ac:dyDescent="0.3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</row>
    <row r="358" spans="1:12" ht="30" customHeight="1" x14ac:dyDescent="0.3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</row>
    <row r="359" spans="1:12" ht="30" customHeight="1" x14ac:dyDescent="0.3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</row>
    <row r="360" spans="1:12" ht="30" customHeight="1" x14ac:dyDescent="0.3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</row>
    <row r="361" spans="1:12" ht="30" customHeight="1" x14ac:dyDescent="0.3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</row>
    <row r="362" spans="1:12" ht="30" customHeight="1" x14ac:dyDescent="0.3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</row>
    <row r="363" spans="1:12" ht="30" customHeight="1" x14ac:dyDescent="0.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</row>
    <row r="364" spans="1:12" ht="30" customHeight="1" x14ac:dyDescent="0.3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</row>
    <row r="365" spans="1:12" ht="30" customHeight="1" x14ac:dyDescent="0.3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</row>
    <row r="366" spans="1:12" ht="30" customHeight="1" x14ac:dyDescent="0.3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</row>
    <row r="367" spans="1:12" ht="30" customHeight="1" x14ac:dyDescent="0.3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</row>
    <row r="368" spans="1:12" ht="30" customHeight="1" x14ac:dyDescent="0.3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</row>
    <row r="369" spans="1:12" ht="30" customHeight="1" x14ac:dyDescent="0.3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</row>
    <row r="370" spans="1:12" ht="30" customHeight="1" x14ac:dyDescent="0.3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</row>
    <row r="371" spans="1:12" ht="30" customHeight="1" x14ac:dyDescent="0.3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</row>
    <row r="372" spans="1:12" ht="30" customHeight="1" x14ac:dyDescent="0.3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</row>
    <row r="373" spans="1:12" ht="30" customHeight="1" x14ac:dyDescent="0.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</row>
    <row r="374" spans="1:12" ht="30" customHeight="1" x14ac:dyDescent="0.3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</row>
    <row r="375" spans="1:12" ht="30" customHeight="1" x14ac:dyDescent="0.3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</row>
    <row r="376" spans="1:12" ht="30" customHeight="1" x14ac:dyDescent="0.3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</row>
    <row r="377" spans="1:12" ht="30" customHeight="1" x14ac:dyDescent="0.3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</row>
    <row r="378" spans="1:12" ht="30" customHeight="1" x14ac:dyDescent="0.3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</row>
    <row r="379" spans="1:12" ht="30" customHeight="1" x14ac:dyDescent="0.3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</row>
    <row r="380" spans="1:12" ht="30" customHeight="1" x14ac:dyDescent="0.3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</row>
    <row r="381" spans="1:12" ht="30" customHeight="1" x14ac:dyDescent="0.3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</row>
    <row r="382" spans="1:12" ht="30" customHeight="1" x14ac:dyDescent="0.3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</row>
    <row r="383" spans="1:12" ht="30" customHeight="1" x14ac:dyDescent="0.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</row>
    <row r="384" spans="1:12" ht="30" customHeight="1" x14ac:dyDescent="0.3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</row>
    <row r="385" spans="1:12" ht="30" customHeight="1" x14ac:dyDescent="0.3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</row>
    <row r="386" spans="1:12" ht="30" customHeight="1" x14ac:dyDescent="0.3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</row>
    <row r="387" spans="1:12" ht="30" customHeight="1" x14ac:dyDescent="0.3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</row>
    <row r="388" spans="1:12" ht="30" customHeight="1" x14ac:dyDescent="0.3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</row>
    <row r="389" spans="1:12" ht="30" customHeight="1" x14ac:dyDescent="0.3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</row>
    <row r="390" spans="1:12" ht="30" customHeight="1" x14ac:dyDescent="0.3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</row>
    <row r="391" spans="1:12" ht="30" customHeight="1" x14ac:dyDescent="0.3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</row>
    <row r="392" spans="1:12" ht="30" customHeight="1" x14ac:dyDescent="0.3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</row>
    <row r="393" spans="1:12" ht="30" customHeight="1" x14ac:dyDescent="0.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</row>
    <row r="394" spans="1:12" ht="30" customHeight="1" x14ac:dyDescent="0.3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</row>
    <row r="395" spans="1:12" ht="30" customHeight="1" x14ac:dyDescent="0.3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</row>
    <row r="396" spans="1:12" ht="30" customHeight="1" x14ac:dyDescent="0.3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</row>
    <row r="397" spans="1:12" ht="30" customHeight="1" x14ac:dyDescent="0.3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</row>
    <row r="398" spans="1:12" ht="30" customHeight="1" x14ac:dyDescent="0.3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</row>
    <row r="399" spans="1:12" ht="30" customHeight="1" x14ac:dyDescent="0.3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</row>
    <row r="400" spans="1:12" ht="30" customHeight="1" x14ac:dyDescent="0.3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</row>
    <row r="401" spans="1:12" ht="30" customHeight="1" x14ac:dyDescent="0.3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</row>
    <row r="402" spans="1:12" ht="30" customHeight="1" x14ac:dyDescent="0.3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</row>
    <row r="403" spans="1:12" ht="30" customHeight="1" x14ac:dyDescent="0.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</row>
    <row r="404" spans="1:12" ht="30" customHeight="1" x14ac:dyDescent="0.3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</row>
    <row r="405" spans="1:12" ht="30" customHeight="1" x14ac:dyDescent="0.3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</row>
    <row r="406" spans="1:12" ht="30" customHeight="1" x14ac:dyDescent="0.3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</row>
    <row r="407" spans="1:12" ht="30" customHeight="1" x14ac:dyDescent="0.3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</row>
    <row r="408" spans="1:12" ht="30" customHeight="1" x14ac:dyDescent="0.3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</row>
    <row r="409" spans="1:12" ht="30" customHeight="1" x14ac:dyDescent="0.3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</row>
    <row r="410" spans="1:12" ht="30" customHeight="1" x14ac:dyDescent="0.3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</row>
    <row r="411" spans="1:12" ht="30" customHeight="1" x14ac:dyDescent="0.3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</row>
    <row r="412" spans="1:12" ht="30" customHeight="1" x14ac:dyDescent="0.3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</row>
    <row r="413" spans="1:12" ht="30" customHeight="1" x14ac:dyDescent="0.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</row>
    <row r="414" spans="1:12" ht="30" customHeight="1" x14ac:dyDescent="0.3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</row>
    <row r="415" spans="1:12" ht="30" customHeight="1" x14ac:dyDescent="0.3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</row>
    <row r="416" spans="1:12" ht="30" customHeight="1" x14ac:dyDescent="0.3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</row>
    <row r="417" spans="1:12" ht="30" customHeight="1" x14ac:dyDescent="0.3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</row>
    <row r="418" spans="1:12" ht="30" customHeight="1" x14ac:dyDescent="0.3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</row>
    <row r="419" spans="1:12" ht="30" customHeight="1" x14ac:dyDescent="0.3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</row>
    <row r="420" spans="1:12" ht="30" customHeight="1" x14ac:dyDescent="0.3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</row>
    <row r="421" spans="1:12" ht="30" customHeight="1" x14ac:dyDescent="0.3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</row>
    <row r="422" spans="1:12" ht="30" customHeight="1" x14ac:dyDescent="0.3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</row>
    <row r="423" spans="1:12" ht="30" customHeight="1" x14ac:dyDescent="0.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</row>
    <row r="424" spans="1:12" ht="30" customHeight="1" x14ac:dyDescent="0.3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</row>
    <row r="425" spans="1:12" ht="30" customHeight="1" x14ac:dyDescent="0.3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</row>
    <row r="426" spans="1:12" ht="30" customHeight="1" x14ac:dyDescent="0.3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</row>
    <row r="427" spans="1:12" ht="30" customHeight="1" x14ac:dyDescent="0.3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</row>
    <row r="428" spans="1:12" ht="30" customHeight="1" x14ac:dyDescent="0.3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</row>
    <row r="429" spans="1:12" ht="30" customHeight="1" x14ac:dyDescent="0.3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</row>
    <row r="430" spans="1:12" ht="30" customHeight="1" x14ac:dyDescent="0.3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</row>
    <row r="431" spans="1:12" ht="30" customHeight="1" x14ac:dyDescent="0.3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</row>
    <row r="432" spans="1:12" ht="30" customHeight="1" x14ac:dyDescent="0.3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</row>
    <row r="433" spans="1:12" ht="30" customHeight="1" x14ac:dyDescent="0.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</row>
    <row r="434" spans="1:12" ht="30" customHeight="1" x14ac:dyDescent="0.3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</row>
    <row r="435" spans="1:12" ht="30" customHeight="1" x14ac:dyDescent="0.3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</row>
    <row r="436" spans="1:12" ht="30" customHeight="1" x14ac:dyDescent="0.3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</row>
    <row r="437" spans="1:12" ht="30" customHeight="1" x14ac:dyDescent="0.3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</row>
    <row r="438" spans="1:12" ht="30" customHeight="1" x14ac:dyDescent="0.3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</row>
    <row r="439" spans="1:12" ht="30" customHeight="1" x14ac:dyDescent="0.3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</row>
    <row r="440" spans="1:12" ht="30" customHeight="1" x14ac:dyDescent="0.3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</row>
    <row r="441" spans="1:12" ht="30" customHeight="1" x14ac:dyDescent="0.3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</row>
    <row r="442" spans="1:12" ht="30" customHeight="1" x14ac:dyDescent="0.3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</row>
    <row r="443" spans="1:12" ht="30" customHeight="1" x14ac:dyDescent="0.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</row>
    <row r="444" spans="1:12" ht="30" customHeight="1" x14ac:dyDescent="0.3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</row>
    <row r="445" spans="1:12" ht="30" customHeight="1" x14ac:dyDescent="0.3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</row>
    <row r="446" spans="1:12" ht="30" customHeight="1" x14ac:dyDescent="0.3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</row>
    <row r="447" spans="1:12" ht="30" customHeight="1" x14ac:dyDescent="0.3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</row>
    <row r="448" spans="1:12" ht="30" customHeight="1" x14ac:dyDescent="0.3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</row>
    <row r="449" spans="1:12" ht="30" customHeight="1" x14ac:dyDescent="0.3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</row>
    <row r="450" spans="1:12" ht="30" customHeight="1" x14ac:dyDescent="0.3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</row>
    <row r="451" spans="1:12" ht="30" customHeight="1" x14ac:dyDescent="0.3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</row>
    <row r="452" spans="1:12" ht="30" customHeight="1" x14ac:dyDescent="0.3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</row>
    <row r="453" spans="1:12" ht="30" customHeight="1" x14ac:dyDescent="0.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</row>
    <row r="454" spans="1:12" ht="30" customHeight="1" x14ac:dyDescent="0.3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</row>
    <row r="455" spans="1:12" ht="30" customHeight="1" x14ac:dyDescent="0.3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</row>
    <row r="456" spans="1:12" ht="30" customHeight="1" x14ac:dyDescent="0.3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</row>
    <row r="457" spans="1:12" ht="30" customHeight="1" x14ac:dyDescent="0.3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</row>
    <row r="458" spans="1:12" ht="30" customHeight="1" x14ac:dyDescent="0.3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</row>
    <row r="459" spans="1:12" ht="30" customHeight="1" x14ac:dyDescent="0.3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</row>
    <row r="460" spans="1:12" ht="30" customHeight="1" x14ac:dyDescent="0.3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</row>
    <row r="461" spans="1:12" ht="30" customHeight="1" x14ac:dyDescent="0.3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</row>
    <row r="462" spans="1:12" ht="30" customHeight="1" x14ac:dyDescent="0.3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</row>
    <row r="463" spans="1:12" ht="30" customHeight="1" x14ac:dyDescent="0.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</row>
    <row r="464" spans="1:12" ht="30" customHeight="1" x14ac:dyDescent="0.3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</row>
    <row r="465" spans="1:12" ht="30" customHeight="1" x14ac:dyDescent="0.3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</row>
    <row r="466" spans="1:12" ht="30" customHeight="1" x14ac:dyDescent="0.3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</row>
    <row r="467" spans="1:12" ht="30" customHeight="1" x14ac:dyDescent="0.3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</row>
    <row r="468" spans="1:12" ht="30" customHeight="1" x14ac:dyDescent="0.3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</row>
    <row r="469" spans="1:12" ht="30" customHeight="1" x14ac:dyDescent="0.3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</row>
    <row r="470" spans="1:12" ht="30" customHeight="1" x14ac:dyDescent="0.3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</row>
    <row r="471" spans="1:12" ht="30" customHeight="1" x14ac:dyDescent="0.3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</row>
    <row r="472" spans="1:12" ht="30" customHeight="1" x14ac:dyDescent="0.3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</row>
    <row r="473" spans="1:12" ht="30" customHeight="1" x14ac:dyDescent="0.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</row>
    <row r="474" spans="1:12" ht="30" customHeight="1" x14ac:dyDescent="0.3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</row>
    <row r="475" spans="1:12" ht="30" customHeight="1" x14ac:dyDescent="0.3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</row>
    <row r="476" spans="1:12" ht="30" customHeight="1" x14ac:dyDescent="0.3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</row>
    <row r="477" spans="1:12" ht="30" customHeight="1" x14ac:dyDescent="0.3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</row>
    <row r="478" spans="1:12" ht="30" customHeight="1" x14ac:dyDescent="0.3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</row>
    <row r="479" spans="1:12" ht="30" customHeight="1" x14ac:dyDescent="0.3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</row>
    <row r="480" spans="1:12" ht="30" customHeight="1" x14ac:dyDescent="0.3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</row>
    <row r="481" spans="1:12" ht="30" customHeight="1" x14ac:dyDescent="0.3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</row>
    <row r="482" spans="1:12" ht="30" customHeight="1" x14ac:dyDescent="0.3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</row>
    <row r="483" spans="1:12" ht="30" customHeight="1" x14ac:dyDescent="0.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</row>
    <row r="484" spans="1:12" ht="30" customHeight="1" x14ac:dyDescent="0.3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</row>
    <row r="485" spans="1:12" ht="30" customHeight="1" x14ac:dyDescent="0.3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</row>
    <row r="486" spans="1:12" ht="30" customHeight="1" x14ac:dyDescent="0.3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</row>
    <row r="487" spans="1:12" ht="30" customHeight="1" x14ac:dyDescent="0.3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</row>
    <row r="488" spans="1:12" ht="30" customHeight="1" x14ac:dyDescent="0.3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</row>
    <row r="489" spans="1:12" ht="30" customHeight="1" x14ac:dyDescent="0.3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</row>
    <row r="490" spans="1:12" ht="30" customHeight="1" x14ac:dyDescent="0.3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</row>
    <row r="491" spans="1:12" ht="30" customHeight="1" x14ac:dyDescent="0.3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</row>
    <row r="492" spans="1:12" ht="30" customHeight="1" x14ac:dyDescent="0.3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</row>
    <row r="493" spans="1:12" ht="30" customHeight="1" x14ac:dyDescent="0.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</row>
    <row r="494" spans="1:12" ht="30" customHeight="1" x14ac:dyDescent="0.3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</row>
    <row r="495" spans="1:12" ht="30" customHeight="1" x14ac:dyDescent="0.3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</row>
    <row r="496" spans="1:12" ht="30" customHeight="1" x14ac:dyDescent="0.3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</row>
    <row r="497" spans="1:12" ht="30" customHeight="1" x14ac:dyDescent="0.3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</row>
    <row r="498" spans="1:12" ht="30" customHeight="1" x14ac:dyDescent="0.3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</row>
    <row r="499" spans="1:12" ht="30" customHeight="1" x14ac:dyDescent="0.3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</row>
    <row r="500" spans="1:12" ht="30" customHeight="1" x14ac:dyDescent="0.3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</row>
    <row r="501" spans="1:12" ht="30" customHeight="1" x14ac:dyDescent="0.3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</row>
    <row r="502" spans="1:12" ht="30" customHeight="1" x14ac:dyDescent="0.3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</row>
    <row r="503" spans="1:12" ht="30" customHeight="1" x14ac:dyDescent="0.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</row>
    <row r="504" spans="1:12" ht="30" customHeight="1" x14ac:dyDescent="0.3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</row>
    <row r="505" spans="1:12" ht="30" customHeight="1" x14ac:dyDescent="0.3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</row>
    <row r="506" spans="1:12" ht="30" customHeight="1" x14ac:dyDescent="0.3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</row>
    <row r="507" spans="1:12" ht="30" customHeight="1" x14ac:dyDescent="0.3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</row>
    <row r="508" spans="1:12" ht="30" customHeight="1" x14ac:dyDescent="0.3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</row>
    <row r="509" spans="1:12" ht="30" customHeight="1" x14ac:dyDescent="0.3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</row>
    <row r="510" spans="1:12" ht="30" customHeight="1" x14ac:dyDescent="0.3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</row>
    <row r="511" spans="1:12" ht="30" customHeight="1" x14ac:dyDescent="0.3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</row>
    <row r="512" spans="1:12" ht="30" customHeight="1" x14ac:dyDescent="0.3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</row>
    <row r="513" spans="1:12" ht="30" customHeight="1" x14ac:dyDescent="0.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</row>
    <row r="514" spans="1:12" ht="30" customHeight="1" x14ac:dyDescent="0.3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</row>
    <row r="515" spans="1:12" ht="30" customHeight="1" x14ac:dyDescent="0.3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</row>
    <row r="516" spans="1:12" ht="30" customHeight="1" x14ac:dyDescent="0.3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</row>
    <row r="517" spans="1:12" ht="30" customHeight="1" x14ac:dyDescent="0.3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</row>
    <row r="518" spans="1:12" ht="30" customHeight="1" x14ac:dyDescent="0.3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</row>
    <row r="519" spans="1:12" ht="30" customHeight="1" x14ac:dyDescent="0.3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</row>
    <row r="520" spans="1:12" ht="30" customHeight="1" x14ac:dyDescent="0.3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</row>
    <row r="521" spans="1:12" ht="30" customHeight="1" x14ac:dyDescent="0.3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</row>
    <row r="522" spans="1:12" ht="30" customHeight="1" x14ac:dyDescent="0.3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</row>
    <row r="523" spans="1:12" ht="30" customHeight="1" x14ac:dyDescent="0.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</row>
    <row r="524" spans="1:12" ht="30" customHeight="1" x14ac:dyDescent="0.3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</row>
    <row r="525" spans="1:12" ht="30" customHeight="1" x14ac:dyDescent="0.3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</row>
    <row r="526" spans="1:12" ht="30" customHeight="1" x14ac:dyDescent="0.3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</row>
    <row r="527" spans="1:12" ht="30" customHeight="1" x14ac:dyDescent="0.3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</row>
    <row r="528" spans="1:12" ht="30" customHeight="1" x14ac:dyDescent="0.3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</row>
    <row r="529" spans="1:12" ht="30" customHeight="1" x14ac:dyDescent="0.3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</row>
    <row r="530" spans="1:12" ht="30" customHeight="1" x14ac:dyDescent="0.3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</row>
    <row r="531" spans="1:12" ht="30" customHeight="1" x14ac:dyDescent="0.3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</row>
    <row r="532" spans="1:12" ht="30" customHeight="1" x14ac:dyDescent="0.3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</row>
    <row r="533" spans="1:12" ht="30" customHeight="1" x14ac:dyDescent="0.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</row>
    <row r="534" spans="1:12" ht="30" customHeight="1" x14ac:dyDescent="0.3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</row>
    <row r="535" spans="1:12" ht="30" customHeight="1" x14ac:dyDescent="0.3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</row>
    <row r="536" spans="1:12" ht="30" customHeight="1" x14ac:dyDescent="0.3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</row>
    <row r="537" spans="1:12" ht="30" customHeight="1" x14ac:dyDescent="0.3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</row>
    <row r="538" spans="1:12" ht="30" customHeight="1" x14ac:dyDescent="0.3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</row>
    <row r="539" spans="1:12" ht="30" customHeight="1" x14ac:dyDescent="0.3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</row>
    <row r="540" spans="1:12" ht="30" customHeight="1" x14ac:dyDescent="0.3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</row>
    <row r="541" spans="1:12" ht="30" customHeight="1" x14ac:dyDescent="0.3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</row>
    <row r="542" spans="1:12" ht="30" customHeight="1" x14ac:dyDescent="0.3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</row>
    <row r="543" spans="1:12" ht="30" customHeight="1" x14ac:dyDescent="0.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</row>
    <row r="544" spans="1:12" ht="30" customHeight="1" x14ac:dyDescent="0.3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</row>
    <row r="545" spans="1:12" ht="30" customHeight="1" x14ac:dyDescent="0.3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</row>
    <row r="546" spans="1:12" ht="30" customHeight="1" x14ac:dyDescent="0.3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</row>
    <row r="547" spans="1:12" ht="30" customHeight="1" x14ac:dyDescent="0.3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</row>
    <row r="548" spans="1:12" ht="30" customHeight="1" x14ac:dyDescent="0.3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</row>
    <row r="549" spans="1:12" ht="30" customHeight="1" x14ac:dyDescent="0.3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</row>
    <row r="550" spans="1:12" ht="30" customHeight="1" x14ac:dyDescent="0.3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</row>
    <row r="551" spans="1:12" ht="30" customHeight="1" x14ac:dyDescent="0.3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</row>
    <row r="552" spans="1:12" ht="30" customHeight="1" x14ac:dyDescent="0.3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</row>
    <row r="553" spans="1:12" ht="30" customHeight="1" x14ac:dyDescent="0.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</row>
    <row r="554" spans="1:12" ht="30" customHeight="1" x14ac:dyDescent="0.3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</row>
    <row r="555" spans="1:12" ht="30" customHeight="1" x14ac:dyDescent="0.3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</row>
    <row r="556" spans="1:12" ht="30" customHeight="1" x14ac:dyDescent="0.3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</row>
    <row r="557" spans="1:12" ht="30" customHeight="1" x14ac:dyDescent="0.3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</row>
    <row r="558" spans="1:12" ht="30" customHeight="1" x14ac:dyDescent="0.3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</row>
    <row r="559" spans="1:12" ht="30" customHeight="1" x14ac:dyDescent="0.3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</row>
    <row r="560" spans="1:12" ht="30" customHeight="1" x14ac:dyDescent="0.3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</row>
    <row r="561" spans="1:12" ht="30" customHeight="1" x14ac:dyDescent="0.3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</row>
    <row r="562" spans="1:12" ht="30" customHeight="1" x14ac:dyDescent="0.3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</row>
    <row r="563" spans="1:12" ht="30" customHeight="1" x14ac:dyDescent="0.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</row>
    <row r="564" spans="1:12" ht="30" customHeight="1" x14ac:dyDescent="0.3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</row>
    <row r="565" spans="1:12" ht="30" customHeight="1" x14ac:dyDescent="0.3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</row>
    <row r="566" spans="1:12" ht="30" customHeight="1" x14ac:dyDescent="0.3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</row>
    <row r="567" spans="1:12" ht="30" customHeight="1" x14ac:dyDescent="0.3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</row>
    <row r="568" spans="1:12" ht="30" customHeight="1" x14ac:dyDescent="0.3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</row>
    <row r="569" spans="1:12" ht="30" customHeight="1" x14ac:dyDescent="0.3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</row>
    <row r="570" spans="1:12" ht="30" customHeight="1" x14ac:dyDescent="0.3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</row>
    <row r="571" spans="1:12" ht="30" customHeight="1" x14ac:dyDescent="0.3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</row>
    <row r="572" spans="1:12" ht="30" customHeight="1" x14ac:dyDescent="0.3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</row>
    <row r="573" spans="1:12" ht="30" customHeight="1" x14ac:dyDescent="0.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</row>
    <row r="574" spans="1:12" ht="30" customHeight="1" x14ac:dyDescent="0.3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</row>
    <row r="575" spans="1:12" ht="30" customHeight="1" x14ac:dyDescent="0.3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</row>
    <row r="576" spans="1:12" ht="30" customHeight="1" x14ac:dyDescent="0.3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</row>
    <row r="577" spans="1:12" ht="30" customHeight="1" x14ac:dyDescent="0.3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</row>
    <row r="578" spans="1:12" ht="30" customHeight="1" x14ac:dyDescent="0.3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</row>
    <row r="579" spans="1:12" ht="30" customHeight="1" x14ac:dyDescent="0.3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</row>
    <row r="580" spans="1:12" ht="30" customHeight="1" x14ac:dyDescent="0.3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</row>
    <row r="581" spans="1:12" ht="30" customHeight="1" x14ac:dyDescent="0.3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</row>
    <row r="582" spans="1:12" ht="30" customHeight="1" x14ac:dyDescent="0.3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</row>
    <row r="583" spans="1:12" ht="30" customHeight="1" x14ac:dyDescent="0.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</row>
    <row r="584" spans="1:12" ht="30" customHeight="1" x14ac:dyDescent="0.3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</row>
    <row r="585" spans="1:12" ht="30" customHeight="1" x14ac:dyDescent="0.3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</row>
    <row r="586" spans="1:12" ht="30" customHeight="1" x14ac:dyDescent="0.3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</row>
    <row r="587" spans="1:12" ht="30" customHeight="1" x14ac:dyDescent="0.3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</row>
    <row r="588" spans="1:12" ht="30" customHeight="1" x14ac:dyDescent="0.3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</row>
    <row r="589" spans="1:12" ht="30" customHeight="1" x14ac:dyDescent="0.3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</row>
    <row r="590" spans="1:12" ht="30" customHeight="1" x14ac:dyDescent="0.3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</row>
    <row r="591" spans="1:12" ht="30" customHeight="1" x14ac:dyDescent="0.3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</row>
    <row r="592" spans="1:12" ht="30" customHeight="1" x14ac:dyDescent="0.3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</row>
    <row r="593" spans="1:12" ht="30" customHeight="1" x14ac:dyDescent="0.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</row>
    <row r="594" spans="1:12" ht="30" customHeight="1" x14ac:dyDescent="0.3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</row>
    <row r="595" spans="1:12" ht="30" customHeight="1" x14ac:dyDescent="0.3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</row>
    <row r="596" spans="1:12" ht="30" customHeight="1" x14ac:dyDescent="0.3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</row>
    <row r="597" spans="1:12" ht="30" customHeight="1" x14ac:dyDescent="0.3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</row>
    <row r="598" spans="1:12" ht="30" customHeight="1" x14ac:dyDescent="0.3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</row>
    <row r="599" spans="1:12" ht="30" customHeight="1" x14ac:dyDescent="0.3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</row>
    <row r="600" spans="1:12" ht="30" customHeight="1" x14ac:dyDescent="0.3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</row>
    <row r="601" spans="1:12" ht="30" customHeight="1" x14ac:dyDescent="0.3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</row>
    <row r="602" spans="1:12" ht="30" customHeight="1" x14ac:dyDescent="0.3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</row>
    <row r="603" spans="1:12" ht="30" customHeight="1" x14ac:dyDescent="0.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</row>
    <row r="604" spans="1:12" ht="30" customHeight="1" x14ac:dyDescent="0.3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</row>
    <row r="605" spans="1:12" ht="30" customHeight="1" x14ac:dyDescent="0.3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</row>
    <row r="606" spans="1:12" ht="30" customHeight="1" x14ac:dyDescent="0.3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</row>
    <row r="607" spans="1:12" ht="30" customHeight="1" x14ac:dyDescent="0.3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</row>
    <row r="608" spans="1:12" ht="30" customHeight="1" x14ac:dyDescent="0.3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</row>
    <row r="609" spans="1:12" ht="30" customHeight="1" x14ac:dyDescent="0.3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</row>
    <row r="610" spans="1:12" ht="30" customHeight="1" x14ac:dyDescent="0.3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</row>
    <row r="611" spans="1:12" ht="30" customHeight="1" x14ac:dyDescent="0.3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</row>
    <row r="612" spans="1:12" ht="30" customHeight="1" x14ac:dyDescent="0.3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</row>
    <row r="613" spans="1:12" ht="30" customHeight="1" x14ac:dyDescent="0.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</row>
    <row r="614" spans="1:12" ht="30" customHeight="1" x14ac:dyDescent="0.3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</row>
    <row r="615" spans="1:12" ht="30" customHeight="1" x14ac:dyDescent="0.3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</row>
    <row r="616" spans="1:12" ht="30" customHeight="1" x14ac:dyDescent="0.3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</row>
    <row r="617" spans="1:12" ht="30" customHeight="1" x14ac:dyDescent="0.3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</row>
    <row r="618" spans="1:12" ht="30" customHeight="1" x14ac:dyDescent="0.3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</row>
    <row r="619" spans="1:12" ht="30" customHeight="1" x14ac:dyDescent="0.3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</row>
    <row r="620" spans="1:12" ht="30" customHeight="1" x14ac:dyDescent="0.3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</row>
    <row r="621" spans="1:12" ht="30" customHeight="1" x14ac:dyDescent="0.3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</row>
    <row r="622" spans="1:12" ht="30" customHeight="1" x14ac:dyDescent="0.3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</row>
    <row r="623" spans="1:12" ht="30" customHeight="1" x14ac:dyDescent="0.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</row>
    <row r="624" spans="1:12" ht="30" customHeight="1" x14ac:dyDescent="0.3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</row>
    <row r="625" spans="1:12" ht="30" customHeight="1" x14ac:dyDescent="0.3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</row>
    <row r="626" spans="1:12" ht="30" customHeight="1" x14ac:dyDescent="0.3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</row>
    <row r="627" spans="1:12" ht="30" customHeight="1" x14ac:dyDescent="0.3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</row>
    <row r="628" spans="1:12" ht="30" customHeight="1" x14ac:dyDescent="0.3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</row>
    <row r="629" spans="1:12" ht="30" customHeight="1" x14ac:dyDescent="0.3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</row>
    <row r="630" spans="1:12" ht="30" customHeight="1" x14ac:dyDescent="0.3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</row>
    <row r="631" spans="1:12" ht="30" customHeight="1" x14ac:dyDescent="0.3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</row>
    <row r="632" spans="1:12" ht="30" customHeight="1" x14ac:dyDescent="0.3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</row>
    <row r="633" spans="1:12" ht="30" customHeight="1" x14ac:dyDescent="0.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</row>
    <row r="634" spans="1:12" ht="30" customHeight="1" x14ac:dyDescent="0.3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</row>
    <row r="635" spans="1:12" ht="30" customHeight="1" x14ac:dyDescent="0.3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</row>
    <row r="636" spans="1:12" ht="30" customHeight="1" x14ac:dyDescent="0.3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</row>
    <row r="637" spans="1:12" ht="30" customHeight="1" x14ac:dyDescent="0.3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</row>
    <row r="638" spans="1:12" ht="30" customHeight="1" x14ac:dyDescent="0.3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</row>
    <row r="639" spans="1:12" ht="30" customHeight="1" x14ac:dyDescent="0.3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</row>
    <row r="640" spans="1:12" ht="30" customHeight="1" x14ac:dyDescent="0.3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</row>
    <row r="641" spans="1:12" ht="30" customHeight="1" x14ac:dyDescent="0.3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</row>
    <row r="642" spans="1:12" ht="30" customHeight="1" x14ac:dyDescent="0.3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</row>
    <row r="643" spans="1:12" ht="30" customHeight="1" x14ac:dyDescent="0.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</row>
    <row r="644" spans="1:12" ht="30" customHeight="1" x14ac:dyDescent="0.3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</row>
    <row r="645" spans="1:12" ht="30" customHeight="1" x14ac:dyDescent="0.3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</row>
    <row r="646" spans="1:12" ht="30" customHeight="1" x14ac:dyDescent="0.3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</row>
    <row r="647" spans="1:12" ht="30" customHeight="1" x14ac:dyDescent="0.3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</row>
    <row r="648" spans="1:12" ht="30" customHeight="1" x14ac:dyDescent="0.3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</row>
    <row r="649" spans="1:12" ht="30" customHeight="1" x14ac:dyDescent="0.3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</row>
    <row r="650" spans="1:12" ht="30" customHeight="1" x14ac:dyDescent="0.3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</row>
    <row r="651" spans="1:12" ht="30" customHeight="1" x14ac:dyDescent="0.3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</row>
    <row r="652" spans="1:12" ht="30" customHeight="1" x14ac:dyDescent="0.3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</row>
    <row r="653" spans="1:12" ht="30" customHeight="1" x14ac:dyDescent="0.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</row>
    <row r="654" spans="1:12" ht="30" customHeight="1" x14ac:dyDescent="0.3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</row>
    <row r="655" spans="1:12" ht="30" customHeight="1" x14ac:dyDescent="0.3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</row>
    <row r="656" spans="1:12" ht="30" customHeight="1" x14ac:dyDescent="0.3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</row>
    <row r="657" spans="1:12" ht="30" customHeight="1" x14ac:dyDescent="0.3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</row>
    <row r="658" spans="1:12" ht="30" customHeight="1" x14ac:dyDescent="0.3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</row>
    <row r="659" spans="1:12" ht="30" customHeight="1" x14ac:dyDescent="0.3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</row>
    <row r="660" spans="1:12" ht="30" customHeight="1" x14ac:dyDescent="0.3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</row>
    <row r="661" spans="1:12" ht="30" customHeight="1" x14ac:dyDescent="0.3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</row>
    <row r="662" spans="1:12" ht="30" customHeight="1" x14ac:dyDescent="0.3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</row>
    <row r="663" spans="1:12" ht="30" customHeight="1" x14ac:dyDescent="0.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</row>
    <row r="664" spans="1:12" ht="30" customHeight="1" x14ac:dyDescent="0.3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</row>
    <row r="665" spans="1:12" ht="30" customHeight="1" x14ac:dyDescent="0.3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</row>
    <row r="666" spans="1:12" ht="30" customHeight="1" x14ac:dyDescent="0.3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</row>
    <row r="667" spans="1:12" ht="30" customHeight="1" x14ac:dyDescent="0.3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</row>
    <row r="668" spans="1:12" ht="30" customHeight="1" x14ac:dyDescent="0.3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</row>
    <row r="669" spans="1:12" ht="30" customHeight="1" x14ac:dyDescent="0.3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</row>
    <row r="670" spans="1:12" ht="30" customHeight="1" x14ac:dyDescent="0.3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</row>
    <row r="671" spans="1:12" ht="30" customHeight="1" x14ac:dyDescent="0.3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</row>
    <row r="672" spans="1:12" ht="30" customHeight="1" x14ac:dyDescent="0.3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</row>
    <row r="673" spans="1:12" ht="30" customHeight="1" x14ac:dyDescent="0.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</row>
    <row r="674" spans="1:12" ht="30" customHeight="1" x14ac:dyDescent="0.3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</row>
    <row r="675" spans="1:12" ht="30" customHeight="1" x14ac:dyDescent="0.3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</row>
    <row r="676" spans="1:12" ht="30" customHeight="1" x14ac:dyDescent="0.3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</row>
    <row r="677" spans="1:12" ht="30" customHeight="1" x14ac:dyDescent="0.3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</row>
    <row r="678" spans="1:12" ht="30" customHeight="1" x14ac:dyDescent="0.3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</row>
    <row r="679" spans="1:12" ht="30" customHeight="1" x14ac:dyDescent="0.3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</row>
    <row r="680" spans="1:12" ht="30" customHeight="1" x14ac:dyDescent="0.3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</row>
    <row r="681" spans="1:12" ht="30" customHeight="1" x14ac:dyDescent="0.3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</row>
    <row r="682" spans="1:12" ht="30" customHeight="1" x14ac:dyDescent="0.3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</row>
    <row r="683" spans="1:12" ht="30" customHeight="1" x14ac:dyDescent="0.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</row>
    <row r="684" spans="1:12" ht="30" customHeight="1" x14ac:dyDescent="0.3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</row>
    <row r="685" spans="1:12" ht="30" customHeight="1" x14ac:dyDescent="0.3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</row>
    <row r="686" spans="1:12" ht="30" customHeight="1" x14ac:dyDescent="0.3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</row>
    <row r="687" spans="1:12" ht="30" customHeight="1" x14ac:dyDescent="0.3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</row>
    <row r="688" spans="1:12" ht="30" customHeight="1" x14ac:dyDescent="0.3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</row>
    <row r="689" spans="1:12" ht="30" customHeight="1" x14ac:dyDescent="0.3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</row>
    <row r="690" spans="1:12" ht="30" customHeight="1" x14ac:dyDescent="0.3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</row>
    <row r="691" spans="1:12" ht="30" customHeight="1" x14ac:dyDescent="0.3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</row>
    <row r="692" spans="1:12" ht="30" customHeight="1" x14ac:dyDescent="0.3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</row>
    <row r="693" spans="1:12" ht="30" customHeight="1" x14ac:dyDescent="0.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</row>
    <row r="694" spans="1:12" ht="30" customHeight="1" x14ac:dyDescent="0.3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</row>
    <row r="695" spans="1:12" ht="30" customHeight="1" x14ac:dyDescent="0.3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</row>
    <row r="696" spans="1:12" ht="30" customHeight="1" x14ac:dyDescent="0.3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</row>
    <row r="697" spans="1:12" ht="30" customHeight="1" x14ac:dyDescent="0.3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</row>
    <row r="698" spans="1:12" ht="30" customHeight="1" x14ac:dyDescent="0.3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</row>
    <row r="699" spans="1:12" ht="30" customHeight="1" x14ac:dyDescent="0.3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</row>
    <row r="700" spans="1:12" ht="30" customHeight="1" x14ac:dyDescent="0.3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</row>
    <row r="701" spans="1:12" ht="30" customHeight="1" x14ac:dyDescent="0.3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</row>
    <row r="702" spans="1:12" ht="30" customHeight="1" x14ac:dyDescent="0.3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</row>
    <row r="703" spans="1:12" ht="30" customHeight="1" x14ac:dyDescent="0.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</row>
    <row r="704" spans="1:12" ht="30" customHeight="1" x14ac:dyDescent="0.3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</row>
    <row r="705" spans="1:12" ht="30" customHeight="1" x14ac:dyDescent="0.3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</row>
    <row r="706" spans="1:12" ht="30" customHeight="1" x14ac:dyDescent="0.3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</row>
    <row r="707" spans="1:12" ht="30" customHeight="1" x14ac:dyDescent="0.3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</row>
    <row r="708" spans="1:12" ht="30" customHeight="1" x14ac:dyDescent="0.3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</row>
    <row r="709" spans="1:12" ht="30" customHeight="1" x14ac:dyDescent="0.3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</row>
    <row r="710" spans="1:12" ht="30" customHeight="1" x14ac:dyDescent="0.3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</row>
    <row r="711" spans="1:12" ht="30" customHeight="1" x14ac:dyDescent="0.3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</row>
    <row r="712" spans="1:12" ht="30" customHeight="1" x14ac:dyDescent="0.3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</row>
    <row r="713" spans="1:12" ht="30" customHeight="1" x14ac:dyDescent="0.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</row>
    <row r="714" spans="1:12" ht="30" customHeight="1" x14ac:dyDescent="0.3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</row>
    <row r="715" spans="1:12" ht="30" customHeight="1" x14ac:dyDescent="0.3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</row>
    <row r="716" spans="1:12" ht="30" customHeight="1" x14ac:dyDescent="0.3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</row>
    <row r="717" spans="1:12" ht="30" customHeight="1" x14ac:dyDescent="0.3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</row>
    <row r="718" spans="1:12" ht="30" customHeight="1" x14ac:dyDescent="0.3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</row>
    <row r="719" spans="1:12" ht="30" customHeight="1" x14ac:dyDescent="0.3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</row>
    <row r="720" spans="1:12" ht="30" customHeight="1" x14ac:dyDescent="0.3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</row>
    <row r="721" spans="1:12" ht="30" customHeight="1" x14ac:dyDescent="0.3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</row>
    <row r="722" spans="1:12" ht="30" customHeight="1" x14ac:dyDescent="0.3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</row>
  </sheetData>
  <autoFilter ref="A5:S293" xr:uid="{98E76CC5-B868-4F28-837A-28CFC96D14CC}">
    <filterColumn colId="12">
      <filters>
        <filter val="กม.22"/>
      </filters>
    </filterColumn>
    <sortState xmlns:xlrd2="http://schemas.microsoft.com/office/spreadsheetml/2017/richdata2" ref="A7:S293">
      <sortCondition ref="B5:B293"/>
    </sortState>
  </autoFilter>
  <mergeCells count="16">
    <mergeCell ref="J3:J4"/>
    <mergeCell ref="K3:K4"/>
    <mergeCell ref="M3:M4"/>
    <mergeCell ref="N3:N4"/>
    <mergeCell ref="O3:O4"/>
    <mergeCell ref="P3:P4"/>
    <mergeCell ref="A1:M1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23622047244094491" right="0" top="0.23622047244094491" bottom="0.39370078740157483" header="0.31496062992125984" footer="0.31496062992125984"/>
  <pageSetup paperSize="8" scale="85" fitToHeight="0" orientation="landscape" horizontalDpi="4294967293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รวมข้อมูล</vt:lpstr>
      <vt:lpstr>รวมข้อมูล!Print_Area</vt:lpstr>
      <vt:lpstr>รวมข้อมูล!Print_Titles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chaiyasit mungfaengklang</dc:creator>
  <cp:lastModifiedBy>chaiyasit mungfaengklang</cp:lastModifiedBy>
  <dcterms:created xsi:type="dcterms:W3CDTF">2026-06-28T13:21:04Z</dcterms:created>
  <dcterms:modified xsi:type="dcterms:W3CDTF">2026-06-28T13:21:58Z</dcterms:modified>
</cp:coreProperties>
</file>